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 12.10.25" sheetId="1" r:id="rId4"/>
    <sheet state="visible" name="IMPORT SHEET" sheetId="2" r:id="rId5"/>
    <sheet state="visible" name="Physical GVs" sheetId="3" r:id="rId6"/>
    <sheet state="visible" name="Digital GVs" sheetId="4" r:id="rId7"/>
    <sheet state="visible" name="CC bank " sheetId="5" r:id="rId8"/>
    <sheet state="visible" name="CC TIPS" sheetId="6" r:id="rId9"/>
    <sheet state="visible" name="CC Rec 06.10" sheetId="7" r:id="rId10"/>
    <sheet state="visible" name="CC Rec 10.10" sheetId="8" r:id="rId11"/>
    <sheet state="visible" name="CC Rec 12.10" sheetId="9" r:id="rId12"/>
  </sheets>
  <definedNames>
    <definedName hidden="1" localSheetId="6" name="_xlnm._FilterDatabase">'CC Rec 06.10'!$H$1:$L$1</definedName>
    <definedName hidden="1" localSheetId="7" name="_xlnm._FilterDatabase">'CC Rec 10.10'!$H$1:$L$119</definedName>
    <definedName hidden="1" localSheetId="8" name="_xlnm._FilterDatabase">'CC Rec 12.10'!$I$1:$M$1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 staff member gave the wrong bill to the table which was less than their original bill. 
Reply:
    T237068
	-tc={1A2FD0A5-D205-4009-8CBF-1F5E876909E3}</t>
      </text>
    </comment>
    <comment authorId="0" ref="G25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Waiter added extra €50 as tips by mistake
	-tc={426A78DC-7887-4087-9AF1-C966B7F87DA4}</t>
      </text>
    </comment>
  </commentList>
</comments>
</file>

<file path=xl/sharedStrings.xml><?xml version="1.0" encoding="utf-8"?>
<sst xmlns="http://schemas.openxmlformats.org/spreadsheetml/2006/main" count="1727" uniqueCount="903">
  <si>
    <t xml:space="preserve">POSTED AND RECONCILED TO SAGE ON : </t>
  </si>
  <si>
    <t>MANAGER IN CHARGE :</t>
  </si>
  <si>
    <t xml:space="preserve">Monday </t>
  </si>
  <si>
    <t>Tuesday</t>
  </si>
  <si>
    <t>Wednesday</t>
  </si>
  <si>
    <t>Thursday</t>
  </si>
  <si>
    <t>Friday</t>
  </si>
  <si>
    <t>Saturday</t>
  </si>
  <si>
    <t>Sunday</t>
  </si>
  <si>
    <t>Total</t>
  </si>
  <si>
    <t>CBE</t>
  </si>
  <si>
    <t xml:space="preserve">Variance </t>
  </si>
  <si>
    <t xml:space="preserve">Sales </t>
  </si>
  <si>
    <t>Bar</t>
  </si>
  <si>
    <t xml:space="preserve">Food </t>
  </si>
  <si>
    <t xml:space="preserve">Wine </t>
  </si>
  <si>
    <t xml:space="preserve">Service Charge </t>
  </si>
  <si>
    <t xml:space="preserve">Room Rental/Other </t>
  </si>
  <si>
    <t>DRINK OTHER</t>
  </si>
  <si>
    <t>Credit Card</t>
  </si>
  <si>
    <t xml:space="preserve">Cash </t>
  </si>
  <si>
    <t>As per lodgement book (Monday &amp; Thursday)</t>
  </si>
  <si>
    <t xml:space="preserve">Debtors </t>
  </si>
  <si>
    <t>Debtors with Taste GV Sold</t>
  </si>
  <si>
    <t xml:space="preserve">GV Redeemed </t>
  </si>
  <si>
    <t>GV Sold (-)</t>
  </si>
  <si>
    <t xml:space="preserve">Complimentary </t>
  </si>
  <si>
    <t>SOT Pay REDEEMED/Deposit REDEEMED</t>
  </si>
  <si>
    <t>Deposits Taken (-)</t>
  </si>
  <si>
    <t xml:space="preserve">CREDIT CARD TIPS </t>
  </si>
  <si>
    <t xml:space="preserve">ROUNDED BILLS </t>
  </si>
  <si>
    <t>ENTER AS SERVICE CHARGE</t>
  </si>
  <si>
    <t>20% discount</t>
  </si>
  <si>
    <t xml:space="preserve">loyalty </t>
  </si>
  <si>
    <r>
      <rPr>
        <rFont val="Calibri"/>
        <b/>
        <color rgb="FFFF0000"/>
        <sz val="11.0"/>
      </rPr>
      <t>Refund</t>
    </r>
    <r>
      <rPr>
        <rFont val="Calibri"/>
        <b/>
        <color theme="1"/>
        <sz val="12.0"/>
      </rPr>
      <t xml:space="preserve"> -</t>
    </r>
    <r>
      <rPr>
        <rFont val="Calibri"/>
        <color theme="1"/>
        <sz val="11.0"/>
      </rPr>
      <t xml:space="preserve"> </t>
    </r>
    <r>
      <rPr>
        <rFont val="Calibri"/>
        <b/>
        <color rgb="FFFF0000"/>
        <sz val="11.0"/>
      </rPr>
      <t xml:space="preserve">OVERCHARGED DAY REDUCE/ REFUND DAY ADD BACK </t>
    </r>
  </si>
  <si>
    <t xml:space="preserve">Petty Cash </t>
  </si>
  <si>
    <t>ADJUSTMENTS FOR VARIANCES</t>
  </si>
  <si>
    <t xml:space="preserve"> </t>
  </si>
  <si>
    <t xml:space="preserve">CC AS PER INPUT SHEET </t>
  </si>
  <si>
    <t xml:space="preserve">CC AS PER SALES SUMMARY -CBE </t>
  </si>
  <si>
    <t>VARIANCE</t>
  </si>
  <si>
    <t>Adjusted for GV Variances</t>
  </si>
  <si>
    <t>DEBTORS/DEPOSITS ADJUSTED</t>
  </si>
  <si>
    <t>ROOM /OTHER 4120</t>
  </si>
  <si>
    <t>FOOD 4008</t>
  </si>
  <si>
    <t>DRINK 4009</t>
  </si>
  <si>
    <t>SC 2102</t>
  </si>
  <si>
    <t>INVOICE</t>
  </si>
  <si>
    <t>06.10.25 - SOT HCU - #68289 - TaskUs</t>
  </si>
  <si>
    <t>#68289</t>
  </si>
  <si>
    <t>08.10.25 - #66674 - RWAM Carole Yardi</t>
  </si>
  <si>
    <t>#68348</t>
  </si>
  <si>
    <t>08.10.25 - #68321 - RWAM Carole Yardi</t>
  </si>
  <si>
    <t>#68349</t>
  </si>
  <si>
    <t>09.10.25 - SOT UBU - #67977 - Gossamer Bio</t>
  </si>
  <si>
    <t>#68356</t>
  </si>
  <si>
    <t>09.10.25 - Kersia #68049</t>
  </si>
  <si>
    <t>#68299</t>
  </si>
  <si>
    <t>09.10.25 - Kersia #68310</t>
  </si>
  <si>
    <t>#68310</t>
  </si>
  <si>
    <t>09.10.25 - Dine in Dublin (phsycal Vouchers)</t>
  </si>
  <si>
    <t>#68357</t>
  </si>
  <si>
    <t>09.10.25 - RR</t>
  </si>
  <si>
    <t>10.10.25 - Nicola Dent (revenue)</t>
  </si>
  <si>
    <t>#68368</t>
  </si>
  <si>
    <t>ICTeBPaymentsLogisticsGroup@revenue.ie</t>
  </si>
  <si>
    <t>11.10.25 - SOT 5SB - #68322 - Law Libreary</t>
  </si>
  <si>
    <t>#68322</t>
  </si>
  <si>
    <t>11.10.25 -  #67616 - Law Libreary</t>
  </si>
  <si>
    <t>#68361</t>
  </si>
  <si>
    <t>12.10.25 - Dine in Dubin - IE-122405489547</t>
  </si>
  <si>
    <t>#68363</t>
  </si>
  <si>
    <t>12.10.25 - Dine in Dublin - IE-092508620130</t>
  </si>
  <si>
    <t>#68364</t>
  </si>
  <si>
    <t>Service Charge</t>
  </si>
  <si>
    <t>SOT'S REDEEMED (deposit redeemed)</t>
  </si>
  <si>
    <t>TOTAL</t>
  </si>
  <si>
    <t>DATE</t>
  </si>
  <si>
    <t>NOTES</t>
  </si>
  <si>
    <t>Room Hire</t>
  </si>
  <si>
    <t>08.10.25 - #66674 - RWAN Carole Yardi</t>
  </si>
  <si>
    <t>08.10.25 - #68321 - RWAN Carole Yardi</t>
  </si>
  <si>
    <t>08.10.25 - SOT MN5 - Aisling Quirke</t>
  </si>
  <si>
    <t>CAREN</t>
  </si>
  <si>
    <t xml:space="preserve">Sales Invoices </t>
  </si>
  <si>
    <t>Gross</t>
  </si>
  <si>
    <t>Adjusted Debtors</t>
  </si>
  <si>
    <t>Posting Gross</t>
  </si>
  <si>
    <t>Nominal Codes</t>
  </si>
  <si>
    <t>Net Amount</t>
  </si>
  <si>
    <t>Column5</t>
  </si>
  <si>
    <t>Column6</t>
  </si>
  <si>
    <t>EX VAT</t>
  </si>
  <si>
    <t xml:space="preserve">12.5% SERVICE CHARGE </t>
  </si>
  <si>
    <t>NC 2102</t>
  </si>
  <si>
    <t>T3</t>
  </si>
  <si>
    <t xml:space="preserve">FIRE DRINK TAKE AWAY </t>
  </si>
  <si>
    <t>NC 4170</t>
  </si>
  <si>
    <t>T1</t>
  </si>
  <si>
    <t xml:space="preserve">ROOM HIRE / OTHER </t>
  </si>
  <si>
    <t>NC 4120</t>
  </si>
  <si>
    <t xml:space="preserve">FIRE FOOD LUNCH </t>
  </si>
  <si>
    <t>NC 4006</t>
  </si>
  <si>
    <t xml:space="preserve">FIRE FOOD DINNER </t>
  </si>
  <si>
    <t>NC 4008</t>
  </si>
  <si>
    <t xml:space="preserve">FIRE DRINK LUNCH </t>
  </si>
  <si>
    <t>NC 4007</t>
  </si>
  <si>
    <t xml:space="preserve">FIRE DRINK DINNER </t>
  </si>
  <si>
    <t>NC 4009</t>
  </si>
  <si>
    <t>T9</t>
  </si>
  <si>
    <t xml:space="preserve">Complementary </t>
  </si>
  <si>
    <t xml:space="preserve">FIRE FOOD COMPS </t>
  </si>
  <si>
    <t xml:space="preserve">FIRE DRINK COMPS </t>
  </si>
  <si>
    <t xml:space="preserve">N/C </t>
  </si>
  <si>
    <t>Date</t>
  </si>
  <si>
    <t>06.10.25 - T180 - 1xCoke (waiter forgot to put through)</t>
  </si>
  <si>
    <t>Always need a reason for these</t>
  </si>
  <si>
    <t>06.10.25 - T38 - 4xDesserts (lamb undercooked and scallops not freash complaint)</t>
  </si>
  <si>
    <t>06.10.25 - T12 - 3xDesserts (chicken cold and undercooked complaint)</t>
  </si>
  <si>
    <t>FOOD</t>
  </si>
  <si>
    <t>06.10.25 - T12 - 2xChicken (chicken cold and undercooked complaint)</t>
  </si>
  <si>
    <t>DRINKS</t>
  </si>
  <si>
    <t>06.10.25 - T103 - 2xWater / 1xSide (Max staff)</t>
  </si>
  <si>
    <t>07.10.25 - T112 - 3xMains (guests complaint about numerous things - difficult table)</t>
  </si>
  <si>
    <t>07.10.25 - T109 - 2xGls Wine (steak undercooked complaint)</t>
  </si>
  <si>
    <t>08.10.25 - T38 - FullBill (Staff member frist meal)</t>
  </si>
  <si>
    <t>08.10.25 - T16 - 1xPorterhouse 1xGlsWine (overcooked steak complaint - difficult costumers)</t>
  </si>
  <si>
    <t>09.10.25 - T180 - 2xCocktails (chipped decanter)</t>
  </si>
  <si>
    <t>09.10.25 - T32 - 8xG&amp;T (Emma Donaghy ref Imelda)</t>
  </si>
  <si>
    <t>10.10.25 - T18 - 1xStarter TDH (guest found hair in the prawns)</t>
  </si>
  <si>
    <t>10.10.25 - T42 - 1x Main 2xStarters (steak undercooked twice - complaint)</t>
  </si>
  <si>
    <t>10.10.25 - T110 - BoneMarrow/Gls Wine (waiter forgot to put through)</t>
  </si>
  <si>
    <t>10.10.25 - T109 - 1xDessert (unhappy with steak)</t>
  </si>
  <si>
    <t>10.10.25 - T24 - Water/Coke/Wine (scallps were cold and unhappy with onions on steak)</t>
  </si>
  <si>
    <t>10.10.25 - T40 - Water/Side (Conall Lee - RR)</t>
  </si>
  <si>
    <t>11.10.25 - T6 - 2xGls Wine (found dirty napkin on the table)</t>
  </si>
  <si>
    <t>11.10.25 - T280 - 1xVodka (wrong cocktails twice)</t>
  </si>
  <si>
    <t>11.10.25 - T36 - 2xPints (guest ordered fillet and sirloin was put through)</t>
  </si>
  <si>
    <t>11.10.25 - 2xDesserts (guest ordered porterhouse and cote de bouf was put through)</t>
  </si>
  <si>
    <t>12.10.25 - T39 - Coffe/Coke (Maryhelen Bastos - SOLE Staff)</t>
  </si>
  <si>
    <t>12.10.25 - T6 - 1xSide 1xSoup (steak tasting slightly burned - complaint)</t>
  </si>
  <si>
    <t xml:space="preserve">FIRE FOOD DISCOUNT </t>
  </si>
  <si>
    <t xml:space="preserve">FIRE DRINK DISCOUNT </t>
  </si>
  <si>
    <t>20% DISCOUNT</t>
  </si>
  <si>
    <t>Food 75%</t>
  </si>
  <si>
    <t>Drink 25%</t>
  </si>
  <si>
    <t>06.10.25 Max O'Neill (Kitchen staff)</t>
  </si>
  <si>
    <t>10.10.25 - Conall Lee ( RR)</t>
  </si>
  <si>
    <t>12.10.25 - Maryhelen Bastos (SOLE Staff)</t>
  </si>
  <si>
    <t xml:space="preserve">FIRE FOOD LOYALTY </t>
  </si>
  <si>
    <t xml:space="preserve">FIRE DRINK LOYALTY </t>
  </si>
  <si>
    <t>LOYALTY</t>
  </si>
  <si>
    <t xml:space="preserve">Total </t>
  </si>
  <si>
    <t xml:space="preserve">drink 25% </t>
  </si>
  <si>
    <t>12.10.25 - The Morgan Hotel (60891200003721869)</t>
  </si>
  <si>
    <t>VAT AMT</t>
  </si>
  <si>
    <t>Type</t>
  </si>
  <si>
    <t>Account reference</t>
  </si>
  <si>
    <t>Nominal A/C Ref </t>
  </si>
  <si>
    <t>Date </t>
  </si>
  <si>
    <t>Ref</t>
  </si>
  <si>
    <t>Details</t>
  </si>
  <si>
    <t>Tax code</t>
  </si>
  <si>
    <t>Tax amount</t>
  </si>
  <si>
    <t>SI</t>
  </si>
  <si>
    <t>F2025</t>
  </si>
  <si>
    <t>WE 12.10.25</t>
  </si>
  <si>
    <t>SC</t>
  </si>
  <si>
    <t>Card ID</t>
  </si>
  <si>
    <t>Line Item ID</t>
  </si>
  <si>
    <t>Product Name</t>
  </si>
  <si>
    <t>Unit</t>
  </si>
  <si>
    <t>Card Unique Code</t>
  </si>
  <si>
    <t>Line Item Type</t>
  </si>
  <si>
    <t>Value</t>
  </si>
  <si>
    <t>Adjustment Date (UTC)</t>
  </si>
  <si>
    <t>Migration Product</t>
  </si>
  <si>
    <t>FIRE Steakhouse &amp; Bar</t>
  </si>
  <si>
    <t>#6301190059386716510</t>
  </si>
  <si>
    <t>Redemption</t>
  </si>
  <si>
    <t>#6301190003516624137</t>
  </si>
  <si>
    <t>In-Store Gift</t>
  </si>
  <si>
    <t>#6301190057458983869</t>
  </si>
  <si>
    <t>Sale</t>
  </si>
  <si>
    <t>#6301190015276724899</t>
  </si>
  <si>
    <t>#6301190096387333721</t>
  </si>
  <si>
    <t>#6301190093583549481</t>
  </si>
  <si>
    <t>#6301190042940563040</t>
  </si>
  <si>
    <t>#6301190020055609691</t>
  </si>
  <si>
    <t>#6301190055310977756</t>
  </si>
  <si>
    <t>#6301190076488852225</t>
  </si>
  <si>
    <t>#6301190010207520490</t>
  </si>
  <si>
    <t>#6301190089545476078</t>
  </si>
  <si>
    <t>Physical Gift Card</t>
  </si>
  <si>
    <t>#6301190001641737956</t>
  </si>
  <si>
    <t>#6301190054681848654</t>
  </si>
  <si>
    <t>#6301190050592902028</t>
  </si>
  <si>
    <t>#6301190006178973734</t>
  </si>
  <si>
    <t>#6301190013523165867</t>
  </si>
  <si>
    <t>#6301190083751282973</t>
  </si>
  <si>
    <t>Physical Sold</t>
  </si>
  <si>
    <t>On Sage</t>
  </si>
  <si>
    <t>G2025</t>
  </si>
  <si>
    <t>SP / F2025</t>
  </si>
  <si>
    <t>Physical Redeemed</t>
  </si>
  <si>
    <t>GIFT2022</t>
  </si>
  <si>
    <t>SC / F2025</t>
  </si>
  <si>
    <t>Digital Redeemed</t>
  </si>
  <si>
    <t>DGV2024</t>
  </si>
  <si>
    <t>Digital Gift Card</t>
  </si>
  <si>
    <t>#6301190092525046325</t>
  </si>
  <si>
    <t>#6301190044666179613</t>
  </si>
  <si>
    <t>#6301190072232221197</t>
  </si>
  <si>
    <t>#6301190089639218394</t>
  </si>
  <si>
    <t>#6301190097930998804</t>
  </si>
  <si>
    <t>#6301190001698208000</t>
  </si>
  <si>
    <t>#6301190052000863628</t>
  </si>
  <si>
    <t>#6301190061616225189</t>
  </si>
  <si>
    <t>#6301190028778231966</t>
  </si>
  <si>
    <t>#6301190028046755291</t>
  </si>
  <si>
    <t>#6301190042722848460</t>
  </si>
  <si>
    <t>#6301190047366728308</t>
  </si>
  <si>
    <t>#6301190002476999307</t>
  </si>
  <si>
    <t>#6301190053522980411</t>
  </si>
  <si>
    <t>CURRENT ACCOUNTS</t>
  </si>
  <si>
    <t>EUR</t>
  </si>
  <si>
    <t xml:space="preserve">          </t>
  </si>
  <si>
    <t>OPENING BALANCE</t>
  </si>
  <si>
    <t>TO BANQUETING FOOD SY</t>
  </si>
  <si>
    <t xml:space="preserve">CC HIT MY BANK </t>
  </si>
  <si>
    <t>DIAGEO IRELAN SEPA</t>
  </si>
  <si>
    <t>OVATION IRELANDINV SP</t>
  </si>
  <si>
    <t>EMS679040922420030 SP</t>
  </si>
  <si>
    <t xml:space="preserve">DINNER </t>
  </si>
  <si>
    <t>EMS575040922420032 SP</t>
  </si>
  <si>
    <t xml:space="preserve">BANK </t>
  </si>
  <si>
    <t>EMS577040922420034 SP</t>
  </si>
  <si>
    <t>EMS574040900240032 SP</t>
  </si>
  <si>
    <t>EMS647040900240031 SP</t>
  </si>
  <si>
    <t>EMS751040900240029 SP</t>
  </si>
  <si>
    <t>EMS648040922420031 SP</t>
  </si>
  <si>
    <t>EMS749040700140029 SP</t>
  </si>
  <si>
    <t>EMS648040700140033 SP</t>
  </si>
  <si>
    <t>EMS645040700140031 SP</t>
  </si>
  <si>
    <t>9FJBPNMLHFJLEVKK9U SP</t>
  </si>
  <si>
    <t>EMS676040723500030 SP</t>
  </si>
  <si>
    <t>EMS649040723500033 SP</t>
  </si>
  <si>
    <t>EMS649041023500031 SP</t>
  </si>
  <si>
    <t>EMS576041023500032 SP</t>
  </si>
  <si>
    <t>EMS752040922420029 SP</t>
  </si>
  <si>
    <t>EMS677040804010030 SP</t>
  </si>
  <si>
    <t>EMS651040922420033 SP</t>
  </si>
  <si>
    <t>cash back</t>
  </si>
  <si>
    <t>EMS576040900240034 SP</t>
  </si>
  <si>
    <t>ID/Note</t>
  </si>
  <si>
    <t>EMS678040900240030 SP</t>
  </si>
  <si>
    <t>EMS574040700140034 SP</t>
  </si>
  <si>
    <t>EMS294040900402381 SP</t>
  </si>
  <si>
    <t>EMS675040700140030 SP</t>
  </si>
  <si>
    <t>EMS572040700140032 SP</t>
  </si>
  <si>
    <t>EMS646040723500031 SP</t>
  </si>
  <si>
    <t>EMS575040723500034 SP</t>
  </si>
  <si>
    <t>EMS750040723500029 SP</t>
  </si>
  <si>
    <t>EMS573040723500032 SP</t>
  </si>
  <si>
    <t>EMS652041023500033 SP</t>
  </si>
  <si>
    <t>EMS578041023500034 SP</t>
  </si>
  <si>
    <t>EMS753041023500029 SP</t>
  </si>
  <si>
    <t>EMS680041023500030 SP</t>
  </si>
  <si>
    <t>Transaction Type</t>
  </si>
  <si>
    <t>Total Tips Collected</t>
  </si>
  <si>
    <t>Total Transaction Amount</t>
  </si>
  <si>
    <t>Credit/Debit (89)</t>
  </si>
  <si>
    <t>Mastercard (39)</t>
  </si>
  <si>
    <t>Amex (13)</t>
  </si>
  <si>
    <t>Visa (37)</t>
  </si>
  <si>
    <t xml:space="preserve">Tuesday </t>
  </si>
  <si>
    <t>Credit/Debit (59)</t>
  </si>
  <si>
    <t>Visa (33)</t>
  </si>
  <si>
    <t>Amex (8)</t>
  </si>
  <si>
    <t>Mastercard (16)</t>
  </si>
  <si>
    <t>Maestro (2)</t>
  </si>
  <si>
    <t xml:space="preserve">Wednesday </t>
  </si>
  <si>
    <t>Credit/Debit (62)</t>
  </si>
  <si>
    <t>Visa (39)</t>
  </si>
  <si>
    <t>Mastercard (14)</t>
  </si>
  <si>
    <t>Debit (1)</t>
  </si>
  <si>
    <t>Credit/Debit (79)</t>
  </si>
  <si>
    <t>Mastercard (24)</t>
  </si>
  <si>
    <t>Visa (45)</t>
  </si>
  <si>
    <t>Amex (9)</t>
  </si>
  <si>
    <t>Maestro (1)</t>
  </si>
  <si>
    <t xml:space="preserve">Friday </t>
  </si>
  <si>
    <t>Credit/Debit (116)</t>
  </si>
  <si>
    <t>Mastercard (42)</t>
  </si>
  <si>
    <t>Visa (62)</t>
  </si>
  <si>
    <t>Discover (1)</t>
  </si>
  <si>
    <t xml:space="preserve">Saturday </t>
  </si>
  <si>
    <t>Credit/Debit (283)</t>
  </si>
  <si>
    <t>Mastercard (79)</t>
  </si>
  <si>
    <t>Visa (195)</t>
  </si>
  <si>
    <t>Credit/Debit (125)</t>
  </si>
  <si>
    <t>Visa (83)</t>
  </si>
  <si>
    <t>Mastercard (32)</t>
  </si>
  <si>
    <t>Amex (10)</t>
  </si>
  <si>
    <t>Debit (2)</t>
  </si>
  <si>
    <t>Payment</t>
  </si>
  <si>
    <t>tip included</t>
  </si>
  <si>
    <t>Net</t>
  </si>
  <si>
    <t>Card Payment</t>
  </si>
  <si>
    <t>Trans</t>
  </si>
  <si>
    <t>Time</t>
  </si>
  <si>
    <t>10/6/25, 11:13 pm</t>
  </si>
  <si>
    <t>Mastercard 7646</t>
  </si>
  <si>
    <t>Received</t>
  </si>
  <si>
    <t>10/6/25, 10:10 pm</t>
  </si>
  <si>
    <t>Visa 7698</t>
  </si>
  <si>
    <t>10/6/25, 10:11 pm</t>
  </si>
  <si>
    <t>Visa 0335</t>
  </si>
  <si>
    <t>10/6/25, 10:12 pm</t>
  </si>
  <si>
    <t>Mastercard 9567</t>
  </si>
  <si>
    <t>10/6/25, 10:48 pm</t>
  </si>
  <si>
    <t>Mastercard 4543</t>
  </si>
  <si>
    <t>10/6/25, 9:51 pm</t>
  </si>
  <si>
    <t>Mastercard 5555</t>
  </si>
  <si>
    <t>10/6/25, 10:57 pm</t>
  </si>
  <si>
    <t>Visa 8832</t>
  </si>
  <si>
    <t>10/6/25, 8:58 pm</t>
  </si>
  <si>
    <t>Mastercard 4423</t>
  </si>
  <si>
    <t>10/6/25, 8:23 pm</t>
  </si>
  <si>
    <t>Mastercard 0893</t>
  </si>
  <si>
    <t>10/6/25, 10:33 pm</t>
  </si>
  <si>
    <t>Visa 8456</t>
  </si>
  <si>
    <t>10/6/25, 9:36 pm</t>
  </si>
  <si>
    <t>Mastercard 6466</t>
  </si>
  <si>
    <t>10/6/25, 9:23 pm</t>
  </si>
  <si>
    <t>Amex 3009</t>
  </si>
  <si>
    <t>10/6/25, 7:37 pm</t>
  </si>
  <si>
    <t>Visa 4736</t>
  </si>
  <si>
    <t>10/6/25, 9:48 pm</t>
  </si>
  <si>
    <t>Amex 4002</t>
  </si>
  <si>
    <t>10/6/25, 8:35 pm</t>
  </si>
  <si>
    <t>Amex 2007</t>
  </si>
  <si>
    <t>10/6/25, 8:57 pm</t>
  </si>
  <si>
    <t>Visa 2975</t>
  </si>
  <si>
    <t>10/6/25, 9:11 pm</t>
  </si>
  <si>
    <t>Visa 5182</t>
  </si>
  <si>
    <t>10/6/25, 7:49 pm</t>
  </si>
  <si>
    <t>Visa 3899</t>
  </si>
  <si>
    <t>10/6/25, 10:00 pm</t>
  </si>
  <si>
    <t>Mastercard 9978</t>
  </si>
  <si>
    <t>10/6/25, 10:52 pm</t>
  </si>
  <si>
    <t>Mastercard 3703</t>
  </si>
  <si>
    <t>10/6/25, 9:12 pm</t>
  </si>
  <si>
    <t>Mastercard 9622</t>
  </si>
  <si>
    <t>10/6/25, 8:43 pm</t>
  </si>
  <si>
    <t>Visa 0781</t>
  </si>
  <si>
    <t>10/6/25, 9:54 pm</t>
  </si>
  <si>
    <t>Mastercard 1155</t>
  </si>
  <si>
    <t>10/6/25, 10:03 pm</t>
  </si>
  <si>
    <t>Mastercard 8775</t>
  </si>
  <si>
    <t>10/6/25, 9:07 pm</t>
  </si>
  <si>
    <t>10/6/25, 9:09 pm</t>
  </si>
  <si>
    <t>Mastercard 0775</t>
  </si>
  <si>
    <t>10/6/25, 9:10 pm</t>
  </si>
  <si>
    <t>Mastercard 6549</t>
  </si>
  <si>
    <t>10/6/25, 9:13 pm</t>
  </si>
  <si>
    <t>Visa 9398</t>
  </si>
  <si>
    <t>10/6/25, 9:38 pm</t>
  </si>
  <si>
    <t>Visa 5161</t>
  </si>
  <si>
    <t>Mastercard 2152</t>
  </si>
  <si>
    <t>10/6/25, 10:56 pm</t>
  </si>
  <si>
    <t>Mastercard 9481</t>
  </si>
  <si>
    <t>Mastercard 4323</t>
  </si>
  <si>
    <t>10/6/25, 8:46 pm</t>
  </si>
  <si>
    <t>Visa 5416</t>
  </si>
  <si>
    <t>10/6/25, 9:47 pm</t>
  </si>
  <si>
    <t>Mastercard 5857</t>
  </si>
  <si>
    <t>Mastercard 2479</t>
  </si>
  <si>
    <t>10/6/25, 9:17 pm</t>
  </si>
  <si>
    <t>Visa 1377</t>
  </si>
  <si>
    <t>10/6/25, 9:22 pm</t>
  </si>
  <si>
    <t>Visa 4120</t>
  </si>
  <si>
    <t>10/6/25, 7:03 pm</t>
  </si>
  <si>
    <t>Amex 3004</t>
  </si>
  <si>
    <t>Visa 3808</t>
  </si>
  <si>
    <t>10/6/25, 9:06 pm</t>
  </si>
  <si>
    <t>Visa 2024</t>
  </si>
  <si>
    <t>10/6/25, 7:09 pm</t>
  </si>
  <si>
    <t>Mastercard 9352</t>
  </si>
  <si>
    <t>10/6/25, 7:33 pm</t>
  </si>
  <si>
    <t>Visa 2985</t>
  </si>
  <si>
    <t>10/6/25, 7:21 pm</t>
  </si>
  <si>
    <t>Mastercard 7011</t>
  </si>
  <si>
    <t>10/6/25, 6:19 pm</t>
  </si>
  <si>
    <t>Mastercard 0713</t>
  </si>
  <si>
    <t>10/6/25, 8:01 pm</t>
  </si>
  <si>
    <t>Mastercard 4174</t>
  </si>
  <si>
    <t>10/6/25, 9:04 pm</t>
  </si>
  <si>
    <t>Amex 1016</t>
  </si>
  <si>
    <t>10/6/25, 7:28 pm</t>
  </si>
  <si>
    <t>Visa 0813</t>
  </si>
  <si>
    <t>Mastercard 1820</t>
  </si>
  <si>
    <t>Visa 2067</t>
  </si>
  <si>
    <t>10/6/25, 10:30 pm</t>
  </si>
  <si>
    <t>Visa 7169</t>
  </si>
  <si>
    <t>10/6/25, 6:58 pm</t>
  </si>
  <si>
    <t>Visa 9754</t>
  </si>
  <si>
    <t>10/6/25, 9:05 pm</t>
  </si>
  <si>
    <t>Mastercard 0875</t>
  </si>
  <si>
    <t>10/6/25, 9:34 pm</t>
  </si>
  <si>
    <t>Mastercard 2760</t>
  </si>
  <si>
    <t>10/6/25, 8:15 pm</t>
  </si>
  <si>
    <t>Mastercard 7198</t>
  </si>
  <si>
    <t>10/6/25, 9:15 pm</t>
  </si>
  <si>
    <t>Amex 9881</t>
  </si>
  <si>
    <t>10/6/25, 6:57 pm</t>
  </si>
  <si>
    <t>Mastercard 6429</t>
  </si>
  <si>
    <t>10/6/25, 11:12 pm</t>
  </si>
  <si>
    <t>Visa 8047</t>
  </si>
  <si>
    <t>Visa 5449</t>
  </si>
  <si>
    <t>10/6/25, 7:50 pm</t>
  </si>
  <si>
    <t>Mastercard 4456</t>
  </si>
  <si>
    <t>10/6/25, 7:51 pm</t>
  </si>
  <si>
    <t>Visa 0663</t>
  </si>
  <si>
    <t>10/6/25, 7:04 pm</t>
  </si>
  <si>
    <t>Amex 1006</t>
  </si>
  <si>
    <t>10/6/25, 6:16 pm</t>
  </si>
  <si>
    <t>Amex 1008</t>
  </si>
  <si>
    <t>10/6/25, 8:11 pm</t>
  </si>
  <si>
    <t>Visa 6211</t>
  </si>
  <si>
    <t>10/6/25, 7:27 pm</t>
  </si>
  <si>
    <t>Visa 4096</t>
  </si>
  <si>
    <t>Visa 9963</t>
  </si>
  <si>
    <t>10/6/25, 9:08 pm</t>
  </si>
  <si>
    <t>Mastercard 0408</t>
  </si>
  <si>
    <t>10/6/25, 6:42 pm</t>
  </si>
  <si>
    <t>Mastercard 7252</t>
  </si>
  <si>
    <t>10/6/25, 10:25 pm</t>
  </si>
  <si>
    <t>Mastercard 5496</t>
  </si>
  <si>
    <t>Amex 5001</t>
  </si>
  <si>
    <t>10/6/25, 9:29 pm</t>
  </si>
  <si>
    <t>Mastercard 9987</t>
  </si>
  <si>
    <t>10/6/25, 9:30 pm</t>
  </si>
  <si>
    <t>Amex 2006</t>
  </si>
  <si>
    <t>Mastercard 0948</t>
  </si>
  <si>
    <t>10/6/25, 7:13 pm</t>
  </si>
  <si>
    <t>Mastercard 1729</t>
  </si>
  <si>
    <t>10/6/25, 8:44 pm</t>
  </si>
  <si>
    <t>Mastercard 0711</t>
  </si>
  <si>
    <t>Amex 1004</t>
  </si>
  <si>
    <t>Visa 1590</t>
  </si>
  <si>
    <t>10/6/25, 6:18 pm</t>
  </si>
  <si>
    <t>Visa 2483</t>
  </si>
  <si>
    <t>10/6/25, 11:00 pm</t>
  </si>
  <si>
    <t>Visa 8277</t>
  </si>
  <si>
    <t>10/6/25, 9:31 pm</t>
  </si>
  <si>
    <t>Visa 6275</t>
  </si>
  <si>
    <t>10/6/25, 8:20 pm</t>
  </si>
  <si>
    <t>Visa 4404</t>
  </si>
  <si>
    <t>10/6/25, 4:56 pm</t>
  </si>
  <si>
    <t>10/6/25, 7:48 pm</t>
  </si>
  <si>
    <t>Visa 9233</t>
  </si>
  <si>
    <t>10/6/25, 10:26 pm</t>
  </si>
  <si>
    <t>10/6/25, 8:52 pm</t>
  </si>
  <si>
    <t>Visa 6817</t>
  </si>
  <si>
    <t>Amex 2002</t>
  </si>
  <si>
    <t>10/6/25, 9:46 pm</t>
  </si>
  <si>
    <t>Visa 2599</t>
  </si>
  <si>
    <t>10/6/25, 9:52 pm</t>
  </si>
  <si>
    <t>Visa 9844</t>
  </si>
  <si>
    <t>10/6/25, 2:19 pm</t>
  </si>
  <si>
    <t>Mastercard 3494</t>
  </si>
  <si>
    <t>10/6/25, 10:15 pm</t>
  </si>
  <si>
    <t>Visa 4614</t>
  </si>
  <si>
    <t>tips</t>
  </si>
  <si>
    <t>10/10/25, 11:52 pm</t>
  </si>
  <si>
    <t>Visa 8984</t>
  </si>
  <si>
    <t>10/10/25, 9:53 pm</t>
  </si>
  <si>
    <t>Visa 8358</t>
  </si>
  <si>
    <t>10/10/25, 10:27 pm</t>
  </si>
  <si>
    <t>Mastercard 6348</t>
  </si>
  <si>
    <t>10/10/25, 11:24 pm</t>
  </si>
  <si>
    <t>Mastercard 2475</t>
  </si>
  <si>
    <t>10/10/25, 10:32 pm</t>
  </si>
  <si>
    <t>Amex 7002</t>
  </si>
  <si>
    <t>10/10/25, 11:35 pm</t>
  </si>
  <si>
    <t>Amex 3003</t>
  </si>
  <si>
    <t>10/10/25, 7:01 pm</t>
  </si>
  <si>
    <t>Amex 2001</t>
  </si>
  <si>
    <t>10/10/25, 11:00 pm</t>
  </si>
  <si>
    <t>Visa 4759</t>
  </si>
  <si>
    <t>10/10/25, 9:09 pm</t>
  </si>
  <si>
    <t>Mastercard 3550</t>
  </si>
  <si>
    <t>10/10/25, 8:34 pm</t>
  </si>
  <si>
    <t>Visa 3892</t>
  </si>
  <si>
    <t>10/10/25, 10:12 pm</t>
  </si>
  <si>
    <t>Mastercard 1347</t>
  </si>
  <si>
    <t>10/10/25, 6:45 pm</t>
  </si>
  <si>
    <t>Mastercard 4795</t>
  </si>
  <si>
    <t>10/10/25, 9:59 pm</t>
  </si>
  <si>
    <t>Visa 5413</t>
  </si>
  <si>
    <t>10/10/25, 10:51 pm</t>
  </si>
  <si>
    <t>Visa 9500</t>
  </si>
  <si>
    <t>10/10/25, 7:41 pm</t>
  </si>
  <si>
    <t>Visa 0879</t>
  </si>
  <si>
    <t>10/10/25, 10:41 pm</t>
  </si>
  <si>
    <t>Mastercard 8181</t>
  </si>
  <si>
    <t>10/10/25, 11:03 pm</t>
  </si>
  <si>
    <t>Visa 6395</t>
  </si>
  <si>
    <t>10/10/25, 10:33 pm</t>
  </si>
  <si>
    <t>Mastercard 4734</t>
  </si>
  <si>
    <t>10/10/25, 11:08 pm</t>
  </si>
  <si>
    <t>Mastercard 6728</t>
  </si>
  <si>
    <t>10/10/25, 8:18 pm</t>
  </si>
  <si>
    <t>Visa 3012</t>
  </si>
  <si>
    <t>10/10/25, 11:05 pm</t>
  </si>
  <si>
    <t>Mastercard 3434</t>
  </si>
  <si>
    <t>10/10/25, 8:53 pm</t>
  </si>
  <si>
    <t>Amex 8002</t>
  </si>
  <si>
    <t>10/10/25, 9:30 pm</t>
  </si>
  <si>
    <t>Visa 3744</t>
  </si>
  <si>
    <t>10/10/25, 11:04 pm</t>
  </si>
  <si>
    <t>Visa 6172</t>
  </si>
  <si>
    <t>10/10/25, 8:52 pm</t>
  </si>
  <si>
    <t>Visa 4303</t>
  </si>
  <si>
    <t>10/10/25, 8:51 pm</t>
  </si>
  <si>
    <t>Amex 9019</t>
  </si>
  <si>
    <t>10/10/25, 9:44 pm</t>
  </si>
  <si>
    <t>Visa 8594</t>
  </si>
  <si>
    <t>10/10/25, 9:41 pm</t>
  </si>
  <si>
    <t>Visa 5368</t>
  </si>
  <si>
    <t>10/10/25, 7:56 pm</t>
  </si>
  <si>
    <t>Mastercard 7020</t>
  </si>
  <si>
    <t>Amex 1648</t>
  </si>
  <si>
    <t>10/10/25, 8:46 pm</t>
  </si>
  <si>
    <t>Maestro 0858</t>
  </si>
  <si>
    <t>10/10/25, 9:52 pm</t>
  </si>
  <si>
    <t>Amex 1002</t>
  </si>
  <si>
    <t>10/10/25, 10:42 pm</t>
  </si>
  <si>
    <t>Visa 2646</t>
  </si>
  <si>
    <t>10/10/25, 8:40 pm</t>
  </si>
  <si>
    <t>Visa 8170</t>
  </si>
  <si>
    <t>10/10/25, 7:19 pm</t>
  </si>
  <si>
    <t>Mastercard 8411</t>
  </si>
  <si>
    <t>10/10/25, 11:34 pm</t>
  </si>
  <si>
    <t>Visa 0660</t>
  </si>
  <si>
    <t>10/10/25, 9:42 pm</t>
  </si>
  <si>
    <t>Visa 1628</t>
  </si>
  <si>
    <t>10/10/25, 10:25 pm</t>
  </si>
  <si>
    <t>10/10/25, 8:09 pm</t>
  </si>
  <si>
    <t>Visa 9743</t>
  </si>
  <si>
    <t>10/10/25, 10:13 pm</t>
  </si>
  <si>
    <t>Mastercard 8735</t>
  </si>
  <si>
    <t>10/10/25, 8:10 pm</t>
  </si>
  <si>
    <t>Mastercard 6891</t>
  </si>
  <si>
    <t>10/10/25, 9:18 pm</t>
  </si>
  <si>
    <t>Mastercard 5799</t>
  </si>
  <si>
    <t>10/10/25, 10:05 pm</t>
  </si>
  <si>
    <t>Mastercard 6099</t>
  </si>
  <si>
    <t>10/10/25, 7:52 pm</t>
  </si>
  <si>
    <t>Mastercard 4559</t>
  </si>
  <si>
    <t>10/10/25, 11:01 pm</t>
  </si>
  <si>
    <t>Mastercard 4557</t>
  </si>
  <si>
    <t>10/10/25, 8:47 pm</t>
  </si>
  <si>
    <t>Visa 6005</t>
  </si>
  <si>
    <t>10/10/25, 11:51 pm</t>
  </si>
  <si>
    <t>Visa 3383</t>
  </si>
  <si>
    <t>10/10/25, 7:33 pm</t>
  </si>
  <si>
    <t>Discover 8548</t>
  </si>
  <si>
    <t>10/10/25, 6:54 pm</t>
  </si>
  <si>
    <t>Mastercard 0503</t>
  </si>
  <si>
    <t>10/10/25, 10:00 pm</t>
  </si>
  <si>
    <t>Visa 1033</t>
  </si>
  <si>
    <t>Mastercard 4760</t>
  </si>
  <si>
    <t>10/10/25, 10:54 pm</t>
  </si>
  <si>
    <t>Visa 6615</t>
  </si>
  <si>
    <t>10/10/25, 9:14 pm</t>
  </si>
  <si>
    <t>Mastercard 6300</t>
  </si>
  <si>
    <t>10/10/25, 8:27 pm</t>
  </si>
  <si>
    <t>Visa 4678</t>
  </si>
  <si>
    <t>10/10/25, 7:09 pm</t>
  </si>
  <si>
    <t>Mastercard 2551</t>
  </si>
  <si>
    <t>Visa 4892</t>
  </si>
  <si>
    <t>Mastercard 2414</t>
  </si>
  <si>
    <t>10/10/25, 6:56 pm</t>
  </si>
  <si>
    <t>Mastercard 7981</t>
  </si>
  <si>
    <t>10/10/25, 9:43 pm</t>
  </si>
  <si>
    <t>Mastercard 1634</t>
  </si>
  <si>
    <t>Visa 7408</t>
  </si>
  <si>
    <t>10/10/25, 7:16 pm</t>
  </si>
  <si>
    <t>Mastercard 9857</t>
  </si>
  <si>
    <t>10/10/25, 10:34 pm</t>
  </si>
  <si>
    <t>Mastercard 1225</t>
  </si>
  <si>
    <t>10/10/25, 10:48 pm</t>
  </si>
  <si>
    <t>Visa 4792</t>
  </si>
  <si>
    <t>10/10/25, 7:26 pm</t>
  </si>
  <si>
    <t>Mastercard 0640</t>
  </si>
  <si>
    <t>Visa 4818</t>
  </si>
  <si>
    <t>10/10/25, 8:54 pm</t>
  </si>
  <si>
    <t>Visa 8251</t>
  </si>
  <si>
    <t>10/10/25, 10:07 pm</t>
  </si>
  <si>
    <t>Visa 0907</t>
  </si>
  <si>
    <t>Visa 5147</t>
  </si>
  <si>
    <t>10/10/25, 7:59 pm</t>
  </si>
  <si>
    <t>Visa 3444</t>
  </si>
  <si>
    <t>10/10/25, 10:10 pm</t>
  </si>
  <si>
    <t>Visa 4618</t>
  </si>
  <si>
    <t>10/10/25, 6:32 pm</t>
  </si>
  <si>
    <t>Visa 6957</t>
  </si>
  <si>
    <t>10/10/25, 7:13 pm</t>
  </si>
  <si>
    <t>Mastercard 0239</t>
  </si>
  <si>
    <t>10/10/25, 6:28 pm</t>
  </si>
  <si>
    <t>Mastercard 2793</t>
  </si>
  <si>
    <t>10/10/25, 6:44 pm</t>
  </si>
  <si>
    <t>10/10/25, 7:32 pm</t>
  </si>
  <si>
    <t>Visa 6695</t>
  </si>
  <si>
    <t>10/10/25, 8:15 pm</t>
  </si>
  <si>
    <t>Visa 6872</t>
  </si>
  <si>
    <t>10/10/25, 7:05 pm</t>
  </si>
  <si>
    <t>Mastercard 1658</t>
  </si>
  <si>
    <t>10/10/25, 9:17 pm</t>
  </si>
  <si>
    <t>Mastercard 7640</t>
  </si>
  <si>
    <t>10/10/25, 11:15 pm</t>
  </si>
  <si>
    <t>Visa 7640</t>
  </si>
  <si>
    <t>Mastercard 2389</t>
  </si>
  <si>
    <t>10/10/25, 9:39 pm</t>
  </si>
  <si>
    <t>Visa 2905</t>
  </si>
  <si>
    <t>10/10/25, 9:40 pm</t>
  </si>
  <si>
    <t>Visa 7586</t>
  </si>
  <si>
    <t>Visa 1781</t>
  </si>
  <si>
    <t>Visa 4752</t>
  </si>
  <si>
    <t>10/10/25, 6:40 pm</t>
  </si>
  <si>
    <t>Visa 5300</t>
  </si>
  <si>
    <t>10/10/25, 9:00 pm</t>
  </si>
  <si>
    <t>Visa 4212</t>
  </si>
  <si>
    <t>10/10/25, 7:06 pm</t>
  </si>
  <si>
    <t>Visa 2422</t>
  </si>
  <si>
    <t>10/10/25, 6:41 pm</t>
  </si>
  <si>
    <t>Visa 0008</t>
  </si>
  <si>
    <t>10/10/25, 9:50 pm</t>
  </si>
  <si>
    <t>Mastercard 7773</t>
  </si>
  <si>
    <t>10/10/25, 9:51 pm</t>
  </si>
  <si>
    <t>Visa 4469</t>
  </si>
  <si>
    <t>Amex 2019</t>
  </si>
  <si>
    <t>10/10/25, 8:28 pm</t>
  </si>
  <si>
    <t>Visa 2500</t>
  </si>
  <si>
    <t>10/10/25, 11:06 pm</t>
  </si>
  <si>
    <t>Visa 2180</t>
  </si>
  <si>
    <t>10/10/25, 9:15 pm</t>
  </si>
  <si>
    <t>Visa 7005</t>
  </si>
  <si>
    <t>10/10/25, 9:16 pm</t>
  </si>
  <si>
    <t>Mastercard 4406</t>
  </si>
  <si>
    <t>Visa 2839</t>
  </si>
  <si>
    <t>10/10/25, 6:42 pm</t>
  </si>
  <si>
    <t>Visa 6064</t>
  </si>
  <si>
    <t>Visa 6609</t>
  </si>
  <si>
    <t>10/10/25, 8:00 pm</t>
  </si>
  <si>
    <t>Visa 8591</t>
  </si>
  <si>
    <t>10/10/25, 10:37 pm</t>
  </si>
  <si>
    <t>Mastercard 7117</t>
  </si>
  <si>
    <t>10/10/25, 11:22 pm</t>
  </si>
  <si>
    <t>Visa 2099</t>
  </si>
  <si>
    <t>Visa 4781</t>
  </si>
  <si>
    <t>10/10/25, 11:09 pm</t>
  </si>
  <si>
    <t>Mastercard 2570</t>
  </si>
  <si>
    <t>Mastercard 4077</t>
  </si>
  <si>
    <t>10/10/25, 10:03 pm</t>
  </si>
  <si>
    <t>Visa 2569</t>
  </si>
  <si>
    <t>10/10/25, 7:49 pm</t>
  </si>
  <si>
    <t>Mastercard 3849</t>
  </si>
  <si>
    <t>10/10/25, 9:45 pm</t>
  </si>
  <si>
    <t>Visa 0223</t>
  </si>
  <si>
    <t>10/10/25, 8:29 pm</t>
  </si>
  <si>
    <t>Visa 4652</t>
  </si>
  <si>
    <t>10/10/25, 10:02 pm</t>
  </si>
  <si>
    <t>Mastercard 7563</t>
  </si>
  <si>
    <t>10/10/25, 5:24 pm</t>
  </si>
  <si>
    <t>Mastercard 6001</t>
  </si>
  <si>
    <t>10/10/25, 9:46 pm</t>
  </si>
  <si>
    <t>Visa 2853</t>
  </si>
  <si>
    <t>10/10/25, 10:58 pm</t>
  </si>
  <si>
    <t>Visa 3329</t>
  </si>
  <si>
    <t>Tips</t>
  </si>
  <si>
    <t>10/12/25, 5:58 pm</t>
  </si>
  <si>
    <t>Mastercard 3330</t>
  </si>
  <si>
    <t>Visa 5338</t>
  </si>
  <si>
    <t>10/12/25, 6:30 pm</t>
  </si>
  <si>
    <t>Mastercard 7779</t>
  </si>
  <si>
    <t>10/12/25, 7:52 pm</t>
  </si>
  <si>
    <t>Visa 6023</t>
  </si>
  <si>
    <t>10/12/25, 9:32 pm</t>
  </si>
  <si>
    <t>Visa 8206</t>
  </si>
  <si>
    <t>10/12/25, 10:10 pm</t>
  </si>
  <si>
    <t>Amex 5024</t>
  </si>
  <si>
    <t>10/12/25, 5:03 pm</t>
  </si>
  <si>
    <t>Visa 0696</t>
  </si>
  <si>
    <t>10/12/25, 10:54 pm</t>
  </si>
  <si>
    <t>Mastercard 6715</t>
  </si>
  <si>
    <t>10/12/25, 6:52 pm</t>
  </si>
  <si>
    <t>Visa 9785</t>
  </si>
  <si>
    <t>10/12/25, 11:03 pm</t>
  </si>
  <si>
    <t>Visa 7269</t>
  </si>
  <si>
    <t>10/12/25, 9:05 pm</t>
  </si>
  <si>
    <t>Visa 8737</t>
  </si>
  <si>
    <t>10/12/25, 7:43 pm</t>
  </si>
  <si>
    <t>Visa 5007</t>
  </si>
  <si>
    <t>Visa 3898</t>
  </si>
  <si>
    <t>10/12/25, 4:53 pm</t>
  </si>
  <si>
    <t>Visa 5267</t>
  </si>
  <si>
    <t>10/12/25, 9:30 pm</t>
  </si>
  <si>
    <t>Mastercard 8811</t>
  </si>
  <si>
    <t>10/12/25, 9:09 pm</t>
  </si>
  <si>
    <t>Visa 3974</t>
  </si>
  <si>
    <t>10/12/25, 9:00 pm</t>
  </si>
  <si>
    <t>Amex 3008</t>
  </si>
  <si>
    <t>10/12/25, 5:52 pm</t>
  </si>
  <si>
    <t>Visa 5055</t>
  </si>
  <si>
    <t>10/12/25, 7:25 pm</t>
  </si>
  <si>
    <t>Visa 3346</t>
  </si>
  <si>
    <t>10/12/25, 10:48 pm</t>
  </si>
  <si>
    <t>Visa 1421</t>
  </si>
  <si>
    <t>10/12/25, 3:13 pm</t>
  </si>
  <si>
    <t>Visa 5308</t>
  </si>
  <si>
    <t>10/12/25, 7:40 pm</t>
  </si>
  <si>
    <t>Visa 3853</t>
  </si>
  <si>
    <t>10/12/25, 5:43 pm</t>
  </si>
  <si>
    <t>Visa 2221</t>
  </si>
  <si>
    <t>10/12/25, 9:01 pm</t>
  </si>
  <si>
    <t>Mastercard 7556</t>
  </si>
  <si>
    <t>10/12/25, 8:07 pm</t>
  </si>
  <si>
    <t>Mastercard 0577</t>
  </si>
  <si>
    <t>10/12/25, 3:20 pm</t>
  </si>
  <si>
    <t>Visa 9602</t>
  </si>
  <si>
    <t>10/12/25, 8:58 pm</t>
  </si>
  <si>
    <t>Visa 0541</t>
  </si>
  <si>
    <t>10/12/25, 10:27 pm</t>
  </si>
  <si>
    <t>Mastercard 3552</t>
  </si>
  <si>
    <t>10/12/25, 10:12 pm</t>
  </si>
  <si>
    <t>Visa 0392</t>
  </si>
  <si>
    <t>10/12/25, 11:02 pm</t>
  </si>
  <si>
    <t>Mastercard 1899</t>
  </si>
  <si>
    <t>10/12/25, 8:39 pm</t>
  </si>
  <si>
    <t>Visa 6223</t>
  </si>
  <si>
    <t>10/12/25, 9:28 pm</t>
  </si>
  <si>
    <t>Visa 6520</t>
  </si>
  <si>
    <t>10/12/25, 3:45 pm</t>
  </si>
  <si>
    <t>Visa 5029</t>
  </si>
  <si>
    <t>10/12/25, 11:05 pm</t>
  </si>
  <si>
    <t>Mastercard 3457</t>
  </si>
  <si>
    <t>10/12/25, 9:42 pm</t>
  </si>
  <si>
    <t>Visa 5992</t>
  </si>
  <si>
    <t>Visa 5505</t>
  </si>
  <si>
    <t>10/12/25, 9:12 pm</t>
  </si>
  <si>
    <t>Visa 6019</t>
  </si>
  <si>
    <t>10/12/25, 10:06 pm</t>
  </si>
  <si>
    <t>Amex 1007</t>
  </si>
  <si>
    <t>10/12/25, 10:02 pm</t>
  </si>
  <si>
    <t>Visa 4067</t>
  </si>
  <si>
    <t>10/12/25, 8:17 pm</t>
  </si>
  <si>
    <t>Visa 2118</t>
  </si>
  <si>
    <t>10/12/25, 8:45 pm</t>
  </si>
  <si>
    <t>Visa 0934</t>
  </si>
  <si>
    <t>10/12/25, 9:43 pm</t>
  </si>
  <si>
    <t>Visa 4964</t>
  </si>
  <si>
    <t>10/12/25, 10:28 pm</t>
  </si>
  <si>
    <t>Visa 7779</t>
  </si>
  <si>
    <t>10/12/25, 9:57 pm</t>
  </si>
  <si>
    <t>Mastercard 1400</t>
  </si>
  <si>
    <t>10/12/25, 7:41 pm</t>
  </si>
  <si>
    <t>Visa 7347</t>
  </si>
  <si>
    <t>10/12/25, 10:13 pm</t>
  </si>
  <si>
    <t>Amex 1009</t>
  </si>
  <si>
    <t>10/12/25, 7:46 pm</t>
  </si>
  <si>
    <t>Amex 2017</t>
  </si>
  <si>
    <t>Mastercard 7192</t>
  </si>
  <si>
    <t>10/12/25, 10:47 pm</t>
  </si>
  <si>
    <t>Mastercard 0283</t>
  </si>
  <si>
    <t>10/12/25, 10:55 pm</t>
  </si>
  <si>
    <t>10/12/25, 11:09 pm</t>
  </si>
  <si>
    <t>Visa 2255</t>
  </si>
  <si>
    <t>10/12/25, 7:17 pm</t>
  </si>
  <si>
    <t>Visa 9226</t>
  </si>
  <si>
    <t>10/12/25, 8:48 pm</t>
  </si>
  <si>
    <t>Visa 3191</t>
  </si>
  <si>
    <t>10/12/25, 8:24 pm</t>
  </si>
  <si>
    <t>10/12/25, 6:45 pm</t>
  </si>
  <si>
    <t>Mastercard 5778</t>
  </si>
  <si>
    <t>10/12/25, 7:01 pm</t>
  </si>
  <si>
    <t>Visa 9675</t>
  </si>
  <si>
    <t>10/12/25, 7:48 pm</t>
  </si>
  <si>
    <t>Visa 7871</t>
  </si>
  <si>
    <t>10/12/25, 7:26 pm</t>
  </si>
  <si>
    <t>10/12/25, 10:17 pm</t>
  </si>
  <si>
    <t>Visa 7514</t>
  </si>
  <si>
    <t>10/12/25, 5:57 pm</t>
  </si>
  <si>
    <t>Mastercard 1178</t>
  </si>
  <si>
    <t>10/12/25, 5:23 pm</t>
  </si>
  <si>
    <t>Visa 9001</t>
  </si>
  <si>
    <t>10/12/25, 8:55 pm</t>
  </si>
  <si>
    <t>Visa 8708</t>
  </si>
  <si>
    <t>10/12/25, 10:38 pm</t>
  </si>
  <si>
    <t>Mastercard 3592</t>
  </si>
  <si>
    <t>10/12/25, 4:55 pm</t>
  </si>
  <si>
    <t>Visa 4800</t>
  </si>
  <si>
    <t>10/12/25, 3:08 pm</t>
  </si>
  <si>
    <t>Visa 5398</t>
  </si>
  <si>
    <t>10/12/25, 9:07 pm</t>
  </si>
  <si>
    <t>Visa 0028</t>
  </si>
  <si>
    <t>10/12/25, 3:11 pm</t>
  </si>
  <si>
    <t>Visa 3132</t>
  </si>
  <si>
    <t>10/12/25, 8:53 pm</t>
  </si>
  <si>
    <t>Amex 3006</t>
  </si>
  <si>
    <t>10/12/25, 7:06 pm</t>
  </si>
  <si>
    <t>Visa 3874</t>
  </si>
  <si>
    <t>10/12/25, 5:40 pm</t>
  </si>
  <si>
    <t>Visa 0671</t>
  </si>
  <si>
    <t>10/12/25, 8:59 pm</t>
  </si>
  <si>
    <t>10/12/25, 5:31 pm</t>
  </si>
  <si>
    <t>Visa 2712</t>
  </si>
  <si>
    <t>10/12/25, 3:15 pm</t>
  </si>
  <si>
    <t>Visa 7120</t>
  </si>
  <si>
    <t>10/12/25, 10:43 pm</t>
  </si>
  <si>
    <t>Mastercard 9216</t>
  </si>
  <si>
    <t>Mastercard 9745</t>
  </si>
  <si>
    <t>10/12/25, 6:06 pm</t>
  </si>
  <si>
    <t>Visa 8808</t>
  </si>
  <si>
    <t>10/12/25, 9:40 pm</t>
  </si>
  <si>
    <t>Visa 6412</t>
  </si>
  <si>
    <t>10/12/25, 9:23 pm</t>
  </si>
  <si>
    <t>Amex 2042</t>
  </si>
  <si>
    <t>Visa 5251</t>
  </si>
  <si>
    <t>10/12/25, 6:48 pm</t>
  </si>
  <si>
    <t>Visa 4443</t>
  </si>
  <si>
    <t>10/12/25, 7:02 pm</t>
  </si>
  <si>
    <t>Visa 4584</t>
  </si>
  <si>
    <t>10/12/25, 2:53 pm</t>
  </si>
  <si>
    <t>Mastercard 6048</t>
  </si>
  <si>
    <t>Visa 4744</t>
  </si>
  <si>
    <t>10/12/25, 5:22 pm</t>
  </si>
  <si>
    <t>Visa 7368</t>
  </si>
  <si>
    <t>Visa 0799</t>
  </si>
  <si>
    <t>10/12/25, 2:14 pm</t>
  </si>
  <si>
    <t>Mastercard 3202</t>
  </si>
  <si>
    <t>10/12/25, 2:50 pm</t>
  </si>
  <si>
    <t>Mastercard 9140</t>
  </si>
  <si>
    <t>10/12/25, 2:51 pm</t>
  </si>
  <si>
    <t>Mastercard 9316</t>
  </si>
  <si>
    <t>10/12/25, 3:47 pm</t>
  </si>
  <si>
    <t>Mastercard 0290</t>
  </si>
  <si>
    <t>10/12/25, 7:34 pm</t>
  </si>
  <si>
    <t>Visa 2625</t>
  </si>
  <si>
    <t>10/12/25, 9:53 pm</t>
  </si>
  <si>
    <t>Mastercard 8344</t>
  </si>
  <si>
    <t>Mastercard 7578</t>
  </si>
  <si>
    <t>10/12/25, 8:50 pm</t>
  </si>
  <si>
    <t>Visa 1096</t>
  </si>
  <si>
    <t>10/12/25, 2:49 pm</t>
  </si>
  <si>
    <t>Visa 6456</t>
  </si>
  <si>
    <t>Visa 4802</t>
  </si>
  <si>
    <t>10/12/25, 8:56 pm</t>
  </si>
  <si>
    <t>Visa 5782</t>
  </si>
  <si>
    <t>10/12/25, 8:57 pm</t>
  </si>
  <si>
    <t>Visa 9565</t>
  </si>
  <si>
    <t>Visa 5273</t>
  </si>
  <si>
    <t>Mastercard 3244</t>
  </si>
  <si>
    <t>Visa 4270</t>
  </si>
  <si>
    <t>10/12/25, 10:08 pm</t>
  </si>
  <si>
    <t>Mastercard 8336</t>
  </si>
  <si>
    <t>Mastercard 7984</t>
  </si>
  <si>
    <t>10/12/25, 6:47 pm</t>
  </si>
  <si>
    <t>Visa 9477</t>
  </si>
  <si>
    <t>10/12/25, 9:48 pm</t>
  </si>
  <si>
    <t>Visa 0474</t>
  </si>
  <si>
    <t>10/12/25, 5:54 pm</t>
  </si>
  <si>
    <t>Visa 9505</t>
  </si>
  <si>
    <t>10/12/25, 7:33 pm</t>
  </si>
  <si>
    <t>10/12/25, 7:50 pm</t>
  </si>
  <si>
    <t>Visa 9701</t>
  </si>
  <si>
    <t>10/12/25, 7:51 pm</t>
  </si>
  <si>
    <t>Visa 9760</t>
  </si>
  <si>
    <t>10/12/25, 8:27 pm</t>
  </si>
  <si>
    <t>Visa 0870</t>
  </si>
  <si>
    <t>Mastercard 6213</t>
  </si>
  <si>
    <t>10/12/25, 6:24 pm</t>
  </si>
  <si>
    <t>Visa 3407</t>
  </si>
  <si>
    <t>10/12/25, 6:25 pm</t>
  </si>
  <si>
    <t>Visa 5699</t>
  </si>
  <si>
    <t>10/12/25, 6:26 pm</t>
  </si>
  <si>
    <t>Mastercard 9070</t>
  </si>
  <si>
    <t>10/12/25, 6:27 pm</t>
  </si>
  <si>
    <t>Mastercard 7736</t>
  </si>
  <si>
    <t>10/12/25, 4:57 pm</t>
  </si>
  <si>
    <t>Visa 1403</t>
  </si>
  <si>
    <t>Mastercard 7047</t>
  </si>
  <si>
    <t>10/12/25, 6:53 pm</t>
  </si>
  <si>
    <t>Visa 2251</t>
  </si>
  <si>
    <t>Visa 3832</t>
  </si>
  <si>
    <t>10/12/25, 9:20 pm</t>
  </si>
  <si>
    <t>Visa 3352</t>
  </si>
  <si>
    <t>10/12/25, 9:11 pm</t>
  </si>
  <si>
    <t>10/12/25, 2:08 pm</t>
  </si>
  <si>
    <t>Visa 7091</t>
  </si>
  <si>
    <t>10/12/25, 9:55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</si>
</sst>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€&quot;#,##0.00"/>
    <numFmt numFmtId="165" formatCode="D/M/YYYY"/>
    <numFmt numFmtId="166" formatCode="_-* #,##0.00_-;\-* #,##0.00_-;_-* &quot;-&quot;??_-;_-@"/>
    <numFmt numFmtId="167" formatCode="&quot;€&quot;#,##0.00;[Red]\-&quot;€&quot;#,##0.00"/>
    <numFmt numFmtId="168" formatCode="&quot;€&quot;#,##0.000"/>
    <numFmt numFmtId="169" formatCode="_-* #,##0.0_-;\-* #,##0.0_-;_-* &quot;-&quot;??_-;_-@"/>
    <numFmt numFmtId="170" formatCode="_-&quot;€&quot;* #,##0.00_-;\-&quot;€&quot;* #,##0.00_-;_-&quot;€&quot;* &quot;-&quot;??_-;_-@"/>
    <numFmt numFmtId="171" formatCode="\€#.##000"/>
  </numFmts>
  <fonts count="31">
    <font>
      <sz val="11.0"/>
      <color theme="1"/>
      <name val="Calibri"/>
      <scheme val="minor"/>
    </font>
    <font>
      <b/>
      <sz val="18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b/>
      <u/>
      <sz val="11.0"/>
      <color theme="1"/>
      <name val="Calibri"/>
    </font>
    <font>
      <sz val="11.0"/>
      <color rgb="FFFF0000"/>
      <name val="Calibri"/>
    </font>
    <font>
      <b/>
      <sz val="11.0"/>
      <color theme="8"/>
      <name val="Calibri"/>
    </font>
    <font>
      <b/>
      <sz val="11.0"/>
      <color rgb="FF3A3838"/>
      <name val="Calibri"/>
    </font>
    <font>
      <b/>
      <sz val="12.0"/>
      <color theme="1"/>
      <name val="Calibri"/>
    </font>
    <font>
      <sz val="12.0"/>
      <color theme="1"/>
      <name val="Calibri"/>
    </font>
    <font>
      <u/>
      <sz val="11.0"/>
      <color theme="10"/>
      <name val="Calibri"/>
    </font>
    <font>
      <sz val="10.0"/>
      <color rgb="FF222222"/>
      <name val="Quattrocento Sans"/>
    </font>
    <font>
      <u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sz val="9.0"/>
      <color theme="1"/>
      <name val="Calibri"/>
    </font>
    <font>
      <sz val="10.0"/>
      <color theme="1"/>
      <name val="Calibri"/>
    </font>
    <font>
      <b/>
      <i/>
      <sz val="12.0"/>
      <color theme="1"/>
      <name val="Calibri"/>
    </font>
    <font>
      <b/>
      <sz val="2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8.0"/>
      <color rgb="FF000000"/>
      <name val="Arial"/>
    </font>
    <font>
      <sz val="8.0"/>
      <color rgb="FF000000"/>
      <name val="Calibri"/>
    </font>
    <font>
      <sz val="8.0"/>
      <color rgb="FFFF0000"/>
      <name val="Arial"/>
    </font>
    <font>
      <sz val="8.0"/>
      <color rgb="FFFF0000"/>
      <name val="Calibri"/>
    </font>
    <font>
      <sz val="8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B4C6E7"/>
        <bgColor rgb="FFB4C6E7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</fills>
  <borders count="41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0" fillId="0" fontId="3" numFmtId="0" xfId="0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4" numFmtId="0" xfId="0" applyAlignment="1" applyBorder="1" applyFill="1" applyFont="1">
      <alignment horizontal="center"/>
    </xf>
    <xf borderId="7" fillId="2" fontId="5" numFmtId="0" xfId="0" applyAlignment="1" applyBorder="1" applyFont="1">
      <alignment horizontal="center"/>
    </xf>
    <xf borderId="8" fillId="3" fontId="3" numFmtId="0" xfId="0" applyAlignment="1" applyBorder="1" applyFill="1" applyFont="1">
      <alignment horizontal="center"/>
    </xf>
    <xf borderId="9" fillId="3" fontId="3" numFmtId="0" xfId="0" applyAlignment="1" applyBorder="1" applyFont="1">
      <alignment horizontal="center"/>
    </xf>
    <xf borderId="10" fillId="0" fontId="3" numFmtId="0" xfId="0" applyBorder="1" applyFont="1"/>
    <xf borderId="10" fillId="0" fontId="4" numFmtId="0" xfId="0" applyAlignment="1" applyBorder="1" applyFont="1">
      <alignment horizontal="center"/>
    </xf>
    <xf borderId="11" fillId="0" fontId="5" numFmtId="0" xfId="0" applyBorder="1" applyFont="1"/>
    <xf borderId="10" fillId="0" fontId="5" numFmtId="0" xfId="0" applyBorder="1" applyFont="1"/>
    <xf borderId="0" fillId="0" fontId="3" numFmtId="164" xfId="0" applyFont="1" applyNumberFormat="1"/>
    <xf borderId="12" fillId="0" fontId="3" numFmtId="0" xfId="0" applyBorder="1" applyFont="1"/>
    <xf borderId="12" fillId="0" fontId="4" numFmtId="165" xfId="0" applyAlignment="1" applyBorder="1" applyFont="1" applyNumberFormat="1">
      <alignment horizontal="center"/>
    </xf>
    <xf borderId="1" fillId="0" fontId="4" numFmtId="0" xfId="0" applyBorder="1" applyFont="1"/>
    <xf borderId="12" fillId="0" fontId="4" numFmtId="0" xfId="0" applyBorder="1" applyFont="1"/>
    <xf borderId="0" fillId="0" fontId="6" numFmtId="0" xfId="0" applyFont="1"/>
    <xf borderId="12" fillId="0" fontId="7" numFmtId="0" xfId="0" applyBorder="1" applyFont="1"/>
    <xf borderId="12" fillId="0" fontId="5" numFmtId="0" xfId="0" applyAlignment="1" applyBorder="1" applyFont="1">
      <alignment horizontal="center"/>
    </xf>
    <xf borderId="1" fillId="0" fontId="3" numFmtId="0" xfId="0" applyBorder="1" applyFont="1"/>
    <xf borderId="12" fillId="0" fontId="3" numFmtId="166" xfId="0" applyBorder="1" applyFont="1" applyNumberFormat="1"/>
    <xf borderId="1" fillId="0" fontId="3" numFmtId="166" xfId="0" applyBorder="1" applyFont="1" applyNumberFormat="1"/>
    <xf borderId="2" fillId="0" fontId="4" numFmtId="0" xfId="0" applyBorder="1" applyFont="1"/>
    <xf borderId="0" fillId="0" fontId="3" numFmtId="166" xfId="0" applyFont="1" applyNumberFormat="1"/>
    <xf borderId="2" fillId="0" fontId="4" numFmtId="166" xfId="0" applyBorder="1" applyFont="1" applyNumberFormat="1"/>
    <xf borderId="2" fillId="0" fontId="4" numFmtId="164" xfId="0" applyBorder="1" applyFont="1" applyNumberFormat="1"/>
    <xf borderId="13" fillId="0" fontId="3" numFmtId="0" xfId="0" applyBorder="1" applyFont="1"/>
    <xf borderId="7" fillId="0" fontId="4" numFmtId="0" xfId="0" applyBorder="1" applyFont="1"/>
    <xf borderId="7" fillId="0" fontId="4" numFmtId="166" xfId="0" applyBorder="1" applyFont="1" applyNumberFormat="1"/>
    <xf borderId="14" fillId="0" fontId="4" numFmtId="166" xfId="0" applyBorder="1" applyFont="1" applyNumberFormat="1"/>
    <xf borderId="13" fillId="0" fontId="4" numFmtId="0" xfId="0" applyBorder="1" applyFont="1"/>
    <xf borderId="14" fillId="0" fontId="3" numFmtId="166" xfId="0" applyBorder="1" applyFont="1" applyNumberFormat="1"/>
    <xf borderId="2" fillId="0" fontId="3" numFmtId="0" xfId="0" applyBorder="1" applyFont="1"/>
    <xf borderId="0" fillId="0" fontId="4" numFmtId="0" xfId="0" applyFont="1"/>
    <xf borderId="0" fillId="0" fontId="8" numFmtId="166" xfId="0" applyFont="1" applyNumberFormat="1"/>
    <xf borderId="15" fillId="4" fontId="3" numFmtId="166" xfId="0" applyBorder="1" applyFill="1" applyFont="1" applyNumberFormat="1"/>
    <xf borderId="6" fillId="5" fontId="3" numFmtId="166" xfId="0" applyBorder="1" applyFill="1" applyFont="1" applyNumberFormat="1"/>
    <xf borderId="0" fillId="0" fontId="4" numFmtId="2" xfId="0" applyFont="1" applyNumberFormat="1"/>
    <xf borderId="8" fillId="5" fontId="8" numFmtId="166" xfId="0" applyBorder="1" applyFont="1" applyNumberFormat="1"/>
    <xf borderId="12" fillId="0" fontId="8" numFmtId="166" xfId="0" applyBorder="1" applyFont="1" applyNumberForma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166" xfId="0" applyBorder="1" applyFont="1" applyNumberFormat="1"/>
    <xf borderId="20" fillId="0" fontId="3" numFmtId="166" xfId="0" applyBorder="1" applyFont="1" applyNumberFormat="1"/>
    <xf borderId="0" fillId="0" fontId="4" numFmtId="164" xfId="0" applyFont="1" applyNumberFormat="1"/>
    <xf borderId="0" fillId="0" fontId="8" numFmtId="164" xfId="0" applyFont="1" applyNumberFormat="1"/>
    <xf borderId="22" fillId="0" fontId="5" numFmtId="0" xfId="0" applyBorder="1" applyFont="1"/>
    <xf borderId="23" fillId="0" fontId="5" numFmtId="0" xfId="0" applyBorder="1" applyFont="1"/>
    <xf borderId="24" fillId="0" fontId="3" numFmtId="166" xfId="0" applyBorder="1" applyFont="1" applyNumberFormat="1"/>
    <xf borderId="25" fillId="0" fontId="3" numFmtId="166" xfId="0" applyBorder="1" applyFont="1" applyNumberFormat="1"/>
    <xf borderId="6" fillId="5" fontId="8" numFmtId="166" xfId="0" applyBorder="1" applyFont="1" applyNumberFormat="1"/>
    <xf borderId="12" fillId="0" fontId="5" numFmtId="0" xfId="0" applyBorder="1" applyFont="1"/>
    <xf borderId="12" fillId="0" fontId="8" numFmtId="0" xfId="0" applyBorder="1" applyFont="1"/>
    <xf borderId="12" fillId="0" fontId="3" numFmtId="167" xfId="0" applyBorder="1" applyFont="1" applyNumberFormat="1"/>
    <xf borderId="0" fillId="0" fontId="4" numFmtId="167" xfId="0" applyFont="1" applyNumberFormat="1"/>
    <xf borderId="8" fillId="5" fontId="3" numFmtId="166" xfId="0" applyBorder="1" applyFont="1" applyNumberFormat="1"/>
    <xf borderId="12" fillId="0" fontId="3" numFmtId="2" xfId="0" applyBorder="1" applyFont="1" applyNumberFormat="1"/>
    <xf borderId="0" fillId="0" fontId="4" numFmtId="166" xfId="0" applyFont="1" applyNumberFormat="1"/>
    <xf borderId="8" fillId="6" fontId="4" numFmtId="0" xfId="0" applyBorder="1" applyFill="1" applyFont="1"/>
    <xf borderId="15" fillId="6" fontId="4" numFmtId="0" xfId="0" applyBorder="1" applyFont="1"/>
    <xf borderId="9" fillId="6" fontId="4" numFmtId="0" xfId="0" applyBorder="1" applyFont="1"/>
    <xf borderId="15" fillId="6" fontId="4" numFmtId="166" xfId="0" applyBorder="1" applyFont="1" applyNumberFormat="1"/>
    <xf borderId="6" fillId="6" fontId="4" numFmtId="166" xfId="0" applyBorder="1" applyFont="1" applyNumberFormat="1"/>
    <xf borderId="8" fillId="6" fontId="4" numFmtId="166" xfId="0" applyBorder="1" applyFont="1" applyNumberFormat="1"/>
    <xf borderId="15" fillId="7" fontId="5" numFmtId="166" xfId="0" applyBorder="1" applyFill="1" applyFont="1" applyNumberFormat="1"/>
    <xf borderId="15" fillId="7" fontId="9" numFmtId="166" xfId="0" applyBorder="1" applyFont="1" applyNumberFormat="1"/>
    <xf borderId="8" fillId="7" fontId="5" numFmtId="166" xfId="0" applyBorder="1" applyFont="1" applyNumberFormat="1"/>
    <xf borderId="4" fillId="0" fontId="3" numFmtId="0" xfId="0" applyBorder="1" applyFont="1"/>
    <xf borderId="26" fillId="0" fontId="3" numFmtId="0" xfId="0" applyBorder="1" applyFont="1"/>
    <xf borderId="5" fillId="0" fontId="3" numFmtId="0" xfId="0" applyBorder="1" applyFont="1"/>
    <xf borderId="3" fillId="0" fontId="3" numFmtId="0" xfId="0" applyBorder="1" applyFont="1"/>
    <xf borderId="4" fillId="0" fontId="3" numFmtId="166" xfId="0" applyBorder="1" applyFont="1" applyNumberFormat="1"/>
    <xf borderId="2" fillId="0" fontId="3" numFmtId="0" xfId="0" applyAlignment="1" applyBorder="1" applyFont="1">
      <alignment textRotation="45"/>
    </xf>
    <xf borderId="15" fillId="8" fontId="4" numFmtId="0" xfId="0" applyBorder="1" applyFill="1" applyFont="1"/>
    <xf borderId="15" fillId="8" fontId="3" numFmtId="164" xfId="0" applyBorder="1" applyFont="1" applyNumberFormat="1"/>
    <xf borderId="9" fillId="8" fontId="3" numFmtId="164" xfId="0" applyBorder="1" applyFont="1" applyNumberFormat="1"/>
    <xf borderId="8" fillId="8" fontId="3" numFmtId="166" xfId="0" applyBorder="1" applyFont="1" applyNumberFormat="1"/>
    <xf borderId="15" fillId="8" fontId="3" numFmtId="166" xfId="0" applyBorder="1" applyFont="1" applyNumberFormat="1"/>
    <xf borderId="15" fillId="8" fontId="10" numFmtId="164" xfId="0" applyBorder="1" applyFont="1" applyNumberFormat="1"/>
    <xf borderId="9" fillId="8" fontId="10" numFmtId="164" xfId="0" applyBorder="1" applyFont="1" applyNumberFormat="1"/>
    <xf borderId="8" fillId="8" fontId="3" numFmtId="164" xfId="0" applyBorder="1" applyFont="1" applyNumberFormat="1"/>
    <xf borderId="27" fillId="8" fontId="4" numFmtId="0" xfId="0" applyBorder="1" applyFont="1"/>
    <xf borderId="27" fillId="8" fontId="4" numFmtId="164" xfId="0" applyBorder="1" applyFont="1" applyNumberFormat="1"/>
    <xf borderId="28" fillId="8" fontId="3" numFmtId="166" xfId="0" applyBorder="1" applyFont="1" applyNumberFormat="1"/>
    <xf borderId="27" fillId="8" fontId="3" numFmtId="166" xfId="0" applyBorder="1" applyFont="1" applyNumberFormat="1"/>
    <xf borderId="20" fillId="0" fontId="3" numFmtId="0" xfId="0" applyAlignment="1" applyBorder="1" applyFont="1">
      <alignment horizontal="center"/>
    </xf>
    <xf borderId="20" fillId="0" fontId="4" numFmtId="0" xfId="0" applyBorder="1" applyFont="1"/>
    <xf borderId="17" fillId="0" fontId="3" numFmtId="166" xfId="0" applyBorder="1" applyFont="1" applyNumberFormat="1"/>
    <xf borderId="29" fillId="0" fontId="3" numFmtId="0" xfId="0" applyBorder="1" applyFont="1"/>
    <xf borderId="15" fillId="5" fontId="3" numFmtId="164" xfId="0" applyBorder="1" applyFont="1" applyNumberFormat="1"/>
    <xf borderId="1" fillId="0" fontId="3" numFmtId="164" xfId="0" applyBorder="1" applyFont="1" applyNumberFormat="1"/>
    <xf borderId="12" fillId="0" fontId="3" numFmtId="164" xfId="0" applyBorder="1" applyFont="1" applyNumberFormat="1"/>
    <xf borderId="30" fillId="9" fontId="3" numFmtId="0" xfId="0" applyBorder="1" applyFill="1" applyFont="1"/>
    <xf borderId="31" fillId="9" fontId="3" numFmtId="164" xfId="0" applyBorder="1" applyFont="1" applyNumberFormat="1"/>
    <xf borderId="32" fillId="9" fontId="3" numFmtId="164" xfId="0" applyBorder="1" applyFont="1" applyNumberFormat="1"/>
    <xf borderId="33" fillId="9" fontId="3" numFmtId="164" xfId="0" applyBorder="1" applyFont="1" applyNumberFormat="1"/>
    <xf borderId="34" fillId="9" fontId="3" numFmtId="164" xfId="0" applyBorder="1" applyFont="1" applyNumberFormat="1"/>
    <xf borderId="12" fillId="0" fontId="11" numFmtId="0" xfId="0" applyBorder="1" applyFont="1"/>
    <xf borderId="0" fillId="0" fontId="12" numFmtId="0" xfId="0" applyFont="1"/>
    <xf borderId="0" fillId="0" fontId="6" numFmtId="0" xfId="0" applyFont="1"/>
    <xf borderId="12" fillId="0" fontId="3" numFmtId="164" xfId="0" applyBorder="1" applyFont="1" applyNumberFormat="1"/>
    <xf borderId="2" fillId="0" fontId="3" numFmtId="164" xfId="0" applyBorder="1" applyFont="1" applyNumberFormat="1"/>
    <xf borderId="12" fillId="0" fontId="4" numFmtId="167" xfId="0" applyBorder="1" applyFont="1" applyNumberFormat="1"/>
    <xf borderId="12" fillId="0" fontId="3" numFmtId="1" xfId="0" applyAlignment="1" applyBorder="1" applyFont="1" applyNumberFormat="1">
      <alignment horizontal="left"/>
    </xf>
    <xf borderId="0" fillId="0" fontId="4" numFmtId="168" xfId="0" applyFont="1" applyNumberFormat="1"/>
    <xf borderId="0" fillId="0" fontId="3" numFmtId="0" xfId="0" applyFont="1"/>
    <xf borderId="0" fillId="0" fontId="5" numFmtId="167" xfId="0" applyFont="1" applyNumberFormat="1"/>
    <xf borderId="15" fillId="5" fontId="4" numFmtId="167" xfId="0" applyBorder="1" applyFont="1" applyNumberFormat="1"/>
    <xf borderId="0" fillId="0" fontId="8" numFmtId="0" xfId="0" applyFont="1"/>
    <xf borderId="12" fillId="0" fontId="8" numFmtId="164" xfId="0" applyBorder="1" applyFont="1" applyNumberFormat="1"/>
    <xf borderId="2" fillId="0" fontId="8" numFmtId="164" xfId="0" applyBorder="1" applyFont="1" applyNumberFormat="1"/>
    <xf borderId="15" fillId="5" fontId="5" numFmtId="167" xfId="0" applyBorder="1" applyFont="1" applyNumberFormat="1"/>
    <xf borderId="1" fillId="0" fontId="3" numFmtId="0" xfId="0" applyBorder="1" applyFont="1"/>
    <xf borderId="2" fillId="0" fontId="3" numFmtId="0" xfId="0" applyBorder="1" applyFont="1"/>
    <xf borderId="0" fillId="0" fontId="13" numFmtId="167" xfId="0" applyFont="1" applyNumberFormat="1"/>
    <xf borderId="12" fillId="0" fontId="3" numFmtId="0" xfId="0" applyBorder="1" applyFont="1"/>
    <xf borderId="0" fillId="0" fontId="3" numFmtId="0" xfId="0" applyAlignment="1" applyFont="1">
      <alignment shrinkToFit="0" wrapText="1"/>
    </xf>
    <xf borderId="26" fillId="0" fontId="3" numFmtId="164" xfId="0" applyBorder="1" applyFont="1" applyNumberFormat="1"/>
    <xf borderId="5" fillId="0" fontId="3" numFmtId="164" xfId="0" applyBorder="1" applyFont="1" applyNumberFormat="1"/>
    <xf borderId="26" fillId="0" fontId="3" numFmtId="0" xfId="0" applyBorder="1" applyFont="1"/>
    <xf borderId="8" fillId="6" fontId="3" numFmtId="2" xfId="0" applyBorder="1" applyFont="1" applyNumberFormat="1"/>
    <xf borderId="12" fillId="0" fontId="3" numFmtId="166" xfId="0" applyBorder="1" applyFont="1" applyNumberFormat="1"/>
    <xf borderId="0" fillId="0" fontId="3" numFmtId="2" xfId="0" applyFont="1" applyNumberFormat="1"/>
    <xf borderId="0" fillId="0" fontId="3" numFmtId="166" xfId="0" applyAlignment="1" applyFont="1" applyNumberFormat="1">
      <alignment horizontal="right"/>
    </xf>
    <xf borderId="2" fillId="0" fontId="4" numFmtId="0" xfId="0" applyBorder="1" applyFont="1"/>
    <xf borderId="12" fillId="0" fontId="3" numFmtId="2" xfId="0" applyBorder="1" applyFont="1" applyNumberFormat="1"/>
    <xf borderId="7" fillId="10" fontId="4" numFmtId="0" xfId="0" applyBorder="1" applyFill="1" applyFont="1"/>
    <xf borderId="35" fillId="10" fontId="4" numFmtId="0" xfId="0" applyBorder="1" applyFont="1"/>
    <xf borderId="12" fillId="0" fontId="3" numFmtId="165" xfId="0" applyBorder="1" applyFont="1" applyNumberFormat="1"/>
    <xf borderId="0" fillId="0" fontId="14" numFmtId="0" xfId="0" applyFont="1"/>
    <xf borderId="0" fillId="0" fontId="3" numFmtId="166" xfId="0" applyAlignment="1" applyFont="1" applyNumberFormat="1">
      <alignment horizontal="center"/>
    </xf>
    <xf borderId="0" fillId="0" fontId="3" numFmtId="169" xfId="0" applyFont="1" applyNumberFormat="1"/>
    <xf borderId="2" fillId="0" fontId="3" numFmtId="165" xfId="0" applyBorder="1" applyFont="1" applyNumberFormat="1"/>
    <xf borderId="1" fillId="0" fontId="3" numFmtId="2" xfId="0" applyBorder="1" applyFont="1" applyNumberFormat="1"/>
    <xf borderId="1" fillId="0" fontId="3" numFmtId="164" xfId="0" applyBorder="1" applyFont="1" applyNumberFormat="1"/>
    <xf borderId="7" fillId="0" fontId="3" numFmtId="2" xfId="0" applyBorder="1" applyFont="1" applyNumberFormat="1"/>
    <xf borderId="7" fillId="0" fontId="3" numFmtId="165" xfId="0" applyBorder="1" applyFont="1" applyNumberFormat="1"/>
    <xf borderId="7" fillId="0" fontId="3" numFmtId="0" xfId="0" applyBorder="1" applyFont="1"/>
    <xf borderId="7" fillId="10" fontId="3" numFmtId="0" xfId="0" applyBorder="1" applyFont="1"/>
    <xf borderId="7" fillId="10" fontId="4" numFmtId="2" xfId="0" applyBorder="1" applyFont="1" applyNumberFormat="1"/>
    <xf borderId="2" fillId="0" fontId="15" numFmtId="0" xfId="0" applyBorder="1" applyFont="1"/>
    <xf borderId="12" fillId="0" fontId="16" numFmtId="0" xfId="0" applyBorder="1" applyFont="1"/>
    <xf borderId="1" fillId="0" fontId="3" numFmtId="166" xfId="0" applyBorder="1" applyFont="1" applyNumberFormat="1"/>
    <xf borderId="0" fillId="0" fontId="3" numFmtId="0" xfId="0" applyAlignment="1" applyFont="1">
      <alignment horizontal="center"/>
    </xf>
    <xf borderId="2" fillId="0" fontId="3" numFmtId="2" xfId="0" applyBorder="1" applyFont="1" applyNumberFormat="1"/>
    <xf borderId="12" fillId="0" fontId="4" numFmtId="0" xfId="0" applyBorder="1" applyFont="1"/>
    <xf borderId="12" fillId="0" fontId="16" numFmtId="166" xfId="0" applyBorder="1" applyFont="1" applyNumberFormat="1"/>
    <xf borderId="1" fillId="0" fontId="4" numFmtId="166" xfId="0" applyBorder="1" applyFont="1" applyNumberFormat="1"/>
    <xf borderId="0" fillId="0" fontId="3" numFmtId="166" xfId="0" applyAlignment="1" applyFont="1" applyNumberFormat="1">
      <alignment horizontal="center"/>
    </xf>
    <xf borderId="15" fillId="11" fontId="16" numFmtId="166" xfId="0" applyBorder="1" applyFill="1" applyFont="1" applyNumberFormat="1"/>
    <xf borderId="12" fillId="0" fontId="4" numFmtId="166" xfId="0" applyBorder="1" applyFont="1" applyNumberFormat="1"/>
    <xf borderId="15" fillId="4" fontId="4" numFmtId="166" xfId="0" applyBorder="1" applyFont="1" applyNumberFormat="1"/>
    <xf borderId="12" fillId="0" fontId="17" numFmtId="166" xfId="0" applyBorder="1" applyFont="1" applyNumberFormat="1"/>
    <xf borderId="2" fillId="0" fontId="3" numFmtId="166" xfId="0" applyBorder="1" applyFont="1" applyNumberFormat="1"/>
    <xf borderId="15" fillId="11" fontId="3" numFmtId="166" xfId="0" applyBorder="1" applyFont="1" applyNumberFormat="1"/>
    <xf borderId="12" fillId="0" fontId="4" numFmtId="0" xfId="0" applyAlignment="1" applyBorder="1" applyFont="1">
      <alignment horizontal="center"/>
    </xf>
    <xf borderId="0" fillId="0" fontId="5" numFmtId="0" xfId="0" applyFont="1"/>
    <xf borderId="12" fillId="0" fontId="4" numFmtId="165" xfId="0" applyBorder="1" applyFont="1" applyNumberFormat="1"/>
    <xf borderId="0" fillId="0" fontId="18" numFmtId="0" xfId="0" applyAlignment="1" applyFont="1">
      <alignment shrinkToFit="0" wrapText="1"/>
    </xf>
    <xf borderId="2" fillId="0" fontId="3" numFmtId="0" xfId="0" applyAlignment="1" applyBorder="1" applyFont="1">
      <alignment horizontal="left" shrinkToFit="0" vertical="top" wrapText="1"/>
    </xf>
    <xf borderId="2" fillId="0" fontId="18" numFmtId="0" xfId="0" applyBorder="1" applyFont="1"/>
    <xf borderId="2" fillId="0" fontId="19" numFmtId="0" xfId="0" applyBorder="1" applyFont="1"/>
    <xf borderId="7" fillId="0" fontId="4" numFmtId="0" xfId="0" applyBorder="1" applyFont="1"/>
    <xf borderId="7" fillId="2" fontId="4" numFmtId="164" xfId="0" applyBorder="1" applyFont="1" applyNumberFormat="1"/>
    <xf borderId="7" fillId="4" fontId="4" numFmtId="164" xfId="0" applyBorder="1" applyFont="1" applyNumberFormat="1"/>
    <xf borderId="7" fillId="0" fontId="4" numFmtId="164" xfId="0" applyBorder="1" applyFont="1" applyNumberFormat="1"/>
    <xf borderId="12" fillId="0" fontId="3" numFmtId="164" xfId="0" applyAlignment="1" applyBorder="1" applyFont="1" applyNumberFormat="1">
      <alignment horizontal="center"/>
    </xf>
    <xf borderId="2" fillId="0" fontId="3" numFmtId="164" xfId="0" applyAlignment="1" applyBorder="1" applyFont="1" applyNumberFormat="1">
      <alignment horizontal="center"/>
    </xf>
    <xf borderId="12" fillId="0" fontId="3" numFmtId="164" xfId="0" applyAlignment="1" applyBorder="1" applyFont="1" applyNumberFormat="1">
      <alignment horizontal="center"/>
    </xf>
    <xf borderId="2" fillId="0" fontId="3" numFmtId="164" xfId="0" applyAlignment="1" applyBorder="1" applyFont="1" applyNumberFormat="1">
      <alignment horizontal="center"/>
    </xf>
    <xf borderId="12" fillId="0" fontId="3" numFmtId="0" xfId="0" applyAlignment="1" applyBorder="1" applyFont="1">
      <alignment horizontal="center"/>
    </xf>
    <xf borderId="2" fillId="0" fontId="20" numFmtId="0" xfId="0" applyBorder="1" applyFont="1"/>
    <xf borderId="2" fillId="0" fontId="16" numFmtId="0" xfId="0" applyBorder="1" applyFont="1"/>
    <xf borderId="12" fillId="0" fontId="16" numFmtId="164" xfId="0" applyBorder="1" applyFont="1" applyNumberFormat="1"/>
    <xf borderId="12" fillId="0" fontId="16" numFmtId="2" xfId="0" applyBorder="1" applyFont="1" applyNumberFormat="1"/>
    <xf borderId="15" fillId="2" fontId="16" numFmtId="2" xfId="0" applyBorder="1" applyFont="1" applyNumberFormat="1"/>
    <xf borderId="9" fillId="5" fontId="3" numFmtId="166" xfId="0" applyBorder="1" applyFont="1" applyNumberFormat="1"/>
    <xf borderId="15" fillId="5" fontId="3" numFmtId="2" xfId="0" applyBorder="1" applyFont="1" applyNumberFormat="1"/>
    <xf borderId="0" fillId="0" fontId="16" numFmtId="0" xfId="0" applyFont="1"/>
    <xf borderId="0" fillId="0" fontId="16" numFmtId="164" xfId="0" applyFont="1" applyNumberFormat="1"/>
    <xf borderId="0" fillId="0" fontId="16" numFmtId="2" xfId="0" applyFont="1" applyNumberFormat="1"/>
    <xf borderId="12" fillId="0" fontId="17" numFmtId="0" xfId="0" applyBorder="1" applyFont="1"/>
    <xf borderId="2" fillId="0" fontId="17" numFmtId="170" xfId="0" applyBorder="1" applyFont="1" applyNumberFormat="1"/>
    <xf borderId="12" fillId="0" fontId="17" numFmtId="170" xfId="0" applyBorder="1" applyFont="1" applyNumberFormat="1"/>
    <xf borderId="22" fillId="0" fontId="3" numFmtId="0" xfId="0" applyBorder="1" applyFont="1"/>
    <xf borderId="25" fillId="0" fontId="3" numFmtId="0" xfId="0" applyBorder="1" applyFont="1"/>
    <xf borderId="32" fillId="2" fontId="3" numFmtId="2" xfId="0" applyBorder="1" applyFont="1" applyNumberFormat="1"/>
    <xf borderId="36" fillId="0" fontId="3" numFmtId="2" xfId="0" applyBorder="1" applyFont="1" applyNumberFormat="1"/>
    <xf borderId="8" fillId="4" fontId="3" numFmtId="166" xfId="0" applyBorder="1" applyFont="1" applyNumberFormat="1"/>
    <xf borderId="8" fillId="11" fontId="3" numFmtId="166" xfId="0" applyBorder="1" applyFont="1" applyNumberFormat="1"/>
    <xf borderId="8" fillId="11" fontId="3" numFmtId="2" xfId="0" applyBorder="1" applyFont="1" applyNumberFormat="1"/>
    <xf borderId="15" fillId="6" fontId="3" numFmtId="0" xfId="0" applyBorder="1" applyFont="1"/>
    <xf borderId="0" fillId="0" fontId="3" numFmtId="0" xfId="0" applyAlignment="1" applyFont="1">
      <alignment horizontal="center"/>
    </xf>
    <xf borderId="0" fillId="0" fontId="3" numFmtId="165" xfId="0" applyFont="1" applyNumberFormat="1"/>
    <xf borderId="0" fillId="0" fontId="3" numFmtId="164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22" xfId="0" applyFont="1" applyNumberFormat="1"/>
    <xf borderId="8" fillId="6" fontId="3" numFmtId="0" xfId="0" applyBorder="1" applyFont="1"/>
    <xf borderId="4" fillId="0" fontId="3" numFmtId="165" xfId="0" applyBorder="1" applyFont="1" applyNumberFormat="1"/>
    <xf borderId="4" fillId="0" fontId="3" numFmtId="2" xfId="0" applyBorder="1" applyFont="1" applyNumberFormat="1"/>
    <xf borderId="21" fillId="0" fontId="3" numFmtId="0" xfId="0" applyBorder="1" applyFont="1"/>
    <xf borderId="37" fillId="0" fontId="3" numFmtId="0" xfId="0" applyBorder="1" applyFont="1"/>
    <xf borderId="8" fillId="5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24" fillId="0" fontId="3" numFmtId="0" xfId="0" applyBorder="1" applyFont="1"/>
    <xf borderId="40" fillId="0" fontId="3" numFmtId="0" xfId="0" applyBorder="1" applyFont="1"/>
    <xf borderId="4" fillId="0" fontId="4" numFmtId="0" xfId="0" applyBorder="1" applyFont="1"/>
    <xf borderId="0" fillId="0" fontId="21" numFmtId="0" xfId="0" applyAlignment="1" applyFont="1">
      <alignment horizontal="center"/>
    </xf>
    <xf borderId="0" fillId="0" fontId="4" numFmtId="0" xfId="0" applyAlignment="1" applyFont="1">
      <alignment horizontal="center"/>
    </xf>
    <xf borderId="8" fillId="6" fontId="11" numFmtId="0" xfId="0" applyBorder="1" applyFont="1"/>
    <xf borderId="8" fillId="6" fontId="11" numFmtId="165" xfId="0" applyBorder="1" applyFont="1" applyNumberFormat="1"/>
    <xf borderId="8" fillId="6" fontId="11" numFmtId="165" xfId="0" applyAlignment="1" applyBorder="1" applyFont="1" applyNumberFormat="1">
      <alignment horizontal="center"/>
    </xf>
    <xf borderId="0" fillId="0" fontId="3" numFmtId="1" xfId="0" applyAlignment="1" applyFont="1" applyNumberFormat="1">
      <alignment horizontal="left"/>
    </xf>
    <xf borderId="0" fillId="0" fontId="3" numFmtId="1" xfId="0" applyFont="1" applyNumberFormat="1"/>
    <xf borderId="0" fillId="0" fontId="8" numFmtId="0" xfId="0" applyFont="1"/>
    <xf borderId="8" fillId="6" fontId="11" numFmtId="164" xfId="0" applyBorder="1" applyFont="1" applyNumberFormat="1"/>
    <xf borderId="8" fillId="6" fontId="11" numFmtId="164" xfId="0" applyAlignment="1" applyBorder="1" applyFont="1" applyNumberFormat="1">
      <alignment horizontal="center"/>
    </xf>
    <xf borderId="8" fillId="4" fontId="4" numFmtId="170" xfId="0" applyBorder="1" applyFont="1" applyNumberFormat="1"/>
    <xf borderId="8" fillId="4" fontId="4" numFmtId="170" xfId="0" applyAlignment="1" applyBorder="1" applyFont="1" applyNumberFormat="1">
      <alignment horizontal="center"/>
    </xf>
    <xf borderId="0" fillId="0" fontId="4" numFmtId="170" xfId="0" applyFont="1" applyNumberFormat="1"/>
    <xf borderId="0" fillId="0" fontId="4" numFmtId="164" xfId="0" applyAlignment="1" applyFont="1" applyNumberFormat="1">
      <alignment horizont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right"/>
    </xf>
    <xf borderId="0" fillId="0" fontId="4" numFmtId="165" xfId="0" applyAlignment="1" applyFont="1" applyNumberFormat="1">
      <alignment horizontal="left"/>
    </xf>
    <xf borderId="0" fillId="0" fontId="22" numFmtId="0" xfId="0" applyFont="1"/>
    <xf borderId="8" fillId="5" fontId="22" numFmtId="167" xfId="0" applyBorder="1" applyFont="1" applyNumberFormat="1"/>
    <xf borderId="0" fillId="0" fontId="22" numFmtId="167" xfId="0" applyFont="1" applyNumberFormat="1"/>
    <xf borderId="0" fillId="0" fontId="23" numFmtId="0" xfId="0" applyFont="1"/>
    <xf borderId="0" fillId="0" fontId="12" numFmtId="171" xfId="0" applyFont="1" applyNumberFormat="1"/>
    <xf borderId="0" fillId="0" fontId="23" numFmtId="0" xfId="0" applyAlignment="1" applyFont="1">
      <alignment horizontal="right"/>
    </xf>
    <xf borderId="0" fillId="0" fontId="3" numFmtId="167" xfId="0" applyFont="1" applyNumberFormat="1"/>
    <xf borderId="0" fillId="0" fontId="24" numFmtId="165" xfId="0" applyAlignment="1" applyFont="1" applyNumberFormat="1">
      <alignment horizontal="left"/>
    </xf>
    <xf borderId="0" fillId="0" fontId="25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8" numFmtId="167" xfId="0" applyFont="1" applyNumberFormat="1"/>
    <xf borderId="0" fillId="0" fontId="25" numFmtId="0" xfId="0" applyAlignment="1" applyFont="1">
      <alignment horizontal="left" vertical="top"/>
    </xf>
    <xf borderId="0" fillId="0" fontId="25" numFmtId="1" xfId="0" applyAlignment="1" applyFont="1" applyNumberFormat="1">
      <alignment vertical="top"/>
    </xf>
    <xf borderId="0" fillId="0" fontId="25" numFmtId="165" xfId="0" applyAlignment="1" applyFont="1" applyNumberFormat="1">
      <alignment horizontal="right" vertical="top"/>
    </xf>
    <xf borderId="0" fillId="0" fontId="3" numFmtId="21" xfId="0" applyAlignment="1" applyFont="1" applyNumberFormat="1">
      <alignment vertical="top"/>
    </xf>
    <xf borderId="0" fillId="0" fontId="8" numFmtId="4" xfId="0" applyAlignment="1" applyFont="1" applyNumberFormat="1">
      <alignment vertical="top"/>
    </xf>
    <xf borderId="0" fillId="0" fontId="26" numFmtId="4" xfId="0" applyAlignment="1" applyFont="1" applyNumberFormat="1">
      <alignment vertical="top"/>
    </xf>
    <xf borderId="8" fillId="6" fontId="3" numFmtId="167" xfId="0" applyBorder="1" applyFont="1" applyNumberFormat="1"/>
    <xf borderId="8" fillId="6" fontId="25" numFmtId="4" xfId="0" applyAlignment="1" applyBorder="1" applyFont="1" applyNumberFormat="1">
      <alignment vertical="top"/>
    </xf>
    <xf borderId="0" fillId="0" fontId="26" numFmtId="0" xfId="0" applyAlignment="1" applyFont="1">
      <alignment vertical="top"/>
    </xf>
    <xf borderId="0" fillId="0" fontId="27" numFmtId="0" xfId="0" applyFont="1"/>
    <xf borderId="0" fillId="0" fontId="28" numFmtId="0" xfId="0" applyAlignment="1" applyFont="1">
      <alignment horizontal="left" vertical="top"/>
    </xf>
    <xf borderId="0" fillId="0" fontId="28" numFmtId="1" xfId="0" applyAlignment="1" applyFont="1" applyNumberFormat="1">
      <alignment vertical="top"/>
    </xf>
    <xf borderId="0" fillId="0" fontId="28" numFmtId="165" xfId="0" applyAlignment="1" applyFont="1" applyNumberFormat="1">
      <alignment horizontal="right" vertical="top"/>
    </xf>
    <xf borderId="0" fillId="0" fontId="8" numFmtId="21" xfId="0" applyAlignment="1" applyFont="1" applyNumberFormat="1">
      <alignment vertical="top"/>
    </xf>
    <xf borderId="0" fillId="0" fontId="28" numFmtId="4" xfId="0" applyAlignment="1" applyFont="1" applyNumberFormat="1">
      <alignment vertical="top"/>
    </xf>
    <xf borderId="0" fillId="0" fontId="28" numFmtId="4" xfId="0" applyAlignment="1" applyFont="1" applyNumberFormat="1">
      <alignment horizontal="right" vertical="top"/>
    </xf>
    <xf borderId="0" fillId="0" fontId="29" numFmtId="0" xfId="0" applyFont="1"/>
    <xf borderId="0" fillId="0" fontId="29" numFmtId="167" xfId="0" applyFont="1" applyNumberFormat="1"/>
    <xf borderId="0" fillId="0" fontId="26" numFmtId="0" xfId="0" applyAlignment="1" applyFont="1">
      <alignment horizontal="left" vertical="top"/>
    </xf>
    <xf borderId="0" fillId="0" fontId="26" numFmtId="1" xfId="0" applyAlignment="1" applyFont="1" applyNumberFormat="1">
      <alignment vertical="top"/>
    </xf>
    <xf borderId="0" fillId="0" fontId="26" numFmtId="165" xfId="0" applyAlignment="1" applyFont="1" applyNumberFormat="1">
      <alignment horizontal="right" vertical="top"/>
    </xf>
    <xf borderId="8" fillId="5" fontId="26" numFmtId="4" xfId="0" applyAlignment="1" applyBorder="1" applyFont="1" applyNumberFormat="1">
      <alignment vertical="top"/>
    </xf>
    <xf borderId="0" fillId="0" fontId="27" numFmtId="167" xfId="0" applyFont="1" applyNumberFormat="1"/>
    <xf borderId="8" fillId="5" fontId="30" numFmtId="167" xfId="0" applyBorder="1" applyFont="1" applyNumberFormat="1"/>
    <xf borderId="0" fillId="0" fontId="30" numFmtId="167" xfId="0" applyFont="1" applyNumberFormat="1"/>
    <xf borderId="8" fillId="5" fontId="26" numFmtId="0" xfId="0" applyAlignment="1" applyBorder="1" applyFont="1">
      <alignment horizontal="left" vertical="top"/>
    </xf>
    <xf borderId="8" fillId="5" fontId="26" numFmtId="1" xfId="0" applyAlignment="1" applyBorder="1" applyFont="1" applyNumberFormat="1">
      <alignment vertical="top"/>
    </xf>
    <xf borderId="8" fillId="5" fontId="26" numFmtId="165" xfId="0" applyAlignment="1" applyBorder="1" applyFont="1" applyNumberFormat="1">
      <alignment horizontal="right" vertical="top"/>
    </xf>
    <xf borderId="8" fillId="5" fontId="3" numFmtId="21" xfId="0" applyAlignment="1" applyBorder="1" applyFont="1" applyNumberFormat="1">
      <alignment vertical="top"/>
    </xf>
    <xf borderId="0" fillId="0" fontId="3" numFmtId="4" xfId="0" applyFont="1" applyNumberFormat="1"/>
    <xf borderId="0" fillId="0" fontId="30" numFmtId="0" xfId="0" applyAlignment="1" applyFont="1">
      <alignment vertical="top"/>
    </xf>
    <xf borderId="0" fillId="0" fontId="30" numFmtId="0" xfId="0" applyFont="1"/>
    <xf borderId="0" fillId="0" fontId="30" numFmtId="21" xfId="0" applyAlignment="1" applyFont="1" applyNumberFormat="1">
      <alignment vertical="top"/>
    </xf>
    <xf borderId="0" fillId="0" fontId="26" numFmtId="4" xfId="0" applyAlignment="1" applyFont="1" applyNumberFormat="1">
      <alignment horizontal="right" vertical="top"/>
    </xf>
    <xf borderId="8" fillId="5" fontId="30" numFmtId="0" xfId="0" applyAlignment="1" applyBorder="1" applyFont="1">
      <alignment vertical="top"/>
    </xf>
    <xf borderId="8" fillId="5" fontId="30" numFmtId="0" xfId="0" applyBorder="1" applyFont="1"/>
    <xf borderId="8" fillId="5" fontId="28" numFmtId="4" xfId="0" applyAlignment="1" applyBorder="1" applyFont="1" applyNumberFormat="1">
      <alignment vertical="top"/>
    </xf>
    <xf borderId="0" fillId="0" fontId="30" numFmtId="4" xfId="0" applyFont="1" applyNumberFormat="1"/>
    <xf borderId="8" fillId="5" fontId="29" numFmtId="167" xfId="0" applyBorder="1" applyFont="1" applyNumberFormat="1"/>
  </cellXfs>
  <cellStyles count="1">
    <cellStyle xfId="0" name="Normal" builtinId="0"/>
  </cellStyles>
  <dxfs count="14">
    <dxf>
      <font>
        <color rgb="FFFF0000"/>
      </font>
      <fill>
        <patternFill patternType="none"/>
      </fill>
      <border/>
    </dxf>
    <dxf>
      <font>
        <color rgb="FF0070C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</dxfs>
  <tableStyles count="6">
    <tableStyle count="4" pivot="0" name="WE 12.10.25-style">
      <tableStyleElement dxfId="3" type="headerRow"/>
      <tableStyleElement dxfId="4" type="firstRowStripe"/>
      <tableStyleElement dxfId="5" type="secondRowStripe"/>
      <tableStyleElement dxfId="6" type="totalRow"/>
    </tableStyle>
    <tableStyle count="3" pivot="0" name="WE 12.10.25-style 2">
      <tableStyleElement dxfId="7" type="headerRow"/>
      <tableStyleElement dxfId="8" type="firstRowStripe"/>
      <tableStyleElement dxfId="5" type="secondRowStripe"/>
    </tableStyle>
    <tableStyle count="3" pivot="0" name="WE 12.10.25-style 3">
      <tableStyleElement dxfId="6" type="headerRow"/>
      <tableStyleElement dxfId="9" type="firstRowStripe"/>
      <tableStyleElement dxfId="5" type="secondRowStripe"/>
    </tableStyle>
    <tableStyle count="3" pivot="0" name="WE 12.10.25-style 4">
      <tableStyleElement dxfId="3" type="headerRow"/>
      <tableStyleElement dxfId="4" type="firstRowStripe"/>
      <tableStyleElement dxfId="5" type="secondRowStripe"/>
    </tableStyle>
    <tableStyle count="4" pivot="0" name="WE 12.10.25-style 5">
      <tableStyleElement dxfId="10" type="headerRow"/>
      <tableStyleElement dxfId="11" type="firstRowStripe"/>
      <tableStyleElement dxfId="5" type="secondRowStripe"/>
      <tableStyleElement dxfId="6" type="totalRow"/>
    </tableStyle>
    <tableStyle count="3" pivot="0" name="WE 12.10.25-style 6">
      <tableStyleElement dxfId="12" type="headerRow"/>
      <tableStyleElement dxfId="13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B44:H67" displayName="Table_1" name="Table_1" id="1">
  <tableColumns count="7">
    <tableColumn name="DEBTORS/DEPOSITS ADJUSTED" id="1"/>
    <tableColumn totalsRowFunction="custom" name="ROOM /OTHER 4120" id="2"/>
    <tableColumn totalsRowFunction="custom" name="FOOD 4008" id="3"/>
    <tableColumn totalsRowFunction="custom" name="DRINK 4009" id="4"/>
    <tableColumn totalsRowFunction="custom" name="SC 2102" id="5"/>
    <tableColumn name="Total" id="6"/>
    <tableColumn name="INVOICE" id="7"/>
  </tableColumns>
  <tableStyleInfo name="WE 12.10.25-style" showColumnStripes="0" showFirstColumn="1" showLastColumn="1" showRowStripes="1"/>
</table>
</file>

<file path=xl/tables/table2.xml><?xml version="1.0" encoding="utf-8"?>
<table xmlns="http://schemas.openxmlformats.org/spreadsheetml/2006/main" ref="B68:E89" displayName="Table_2" name="Table_2" id="2">
  <tableColumns count="4">
    <tableColumn name="SOT'S REDEEMED (deposit redeemed)" id="1"/>
    <tableColumn name="TOTAL" id="2"/>
    <tableColumn name="DATE" id="3"/>
    <tableColumn name="NOTES" id="4"/>
  </tableColumns>
  <tableStyleInfo name="WE 12.10.25-style 2" showColumnStripes="0" showFirstColumn="1" showLastColumn="1" showRowStripes="1"/>
</table>
</file>

<file path=xl/tables/table3.xml><?xml version="1.0" encoding="utf-8"?>
<table xmlns="http://schemas.openxmlformats.org/spreadsheetml/2006/main" ref="B91:I105" displayName="Table_3" name="Table_3" id="3">
  <tableColumns count="8">
    <tableColumn name="Sales Invoices " id="1"/>
    <tableColumn name="Gross" id="2"/>
    <tableColumn name="Adjusted Debtors" id="3"/>
    <tableColumn name="Posting Gross" id="4"/>
    <tableColumn name="Nominal Codes" id="5"/>
    <tableColumn name="Net Amount" id="6"/>
    <tableColumn name="Column5" id="7"/>
    <tableColumn name="Column6" id="8"/>
  </tableColumns>
  <tableStyleInfo name="WE 12.10.25-style 3" showColumnStripes="0" showFirstColumn="1" showLastColumn="1" showRowStripes="1"/>
</table>
</file>

<file path=xl/tables/table4.xml><?xml version="1.0" encoding="utf-8"?>
<table xmlns="http://schemas.openxmlformats.org/spreadsheetml/2006/main" ref="B108:F138" displayName="Table_4" name="Table_4" id="4">
  <tableColumns count="5">
    <tableColumn name="Complementary " id="1"/>
    <tableColumn name="FIRE FOOD COMPS " id="2"/>
    <tableColumn name="FIRE DRINK COMPS " id="3"/>
    <tableColumn name="N/C " id="4"/>
    <tableColumn name="Date" id="5"/>
  </tableColumns>
  <tableStyleInfo name="WE 12.10.25-style 4" showColumnStripes="0" showFirstColumn="1" showLastColumn="1" showRowStripes="1"/>
</table>
</file>

<file path=xl/tables/table5.xml><?xml version="1.0" encoding="utf-8"?>
<table xmlns="http://schemas.openxmlformats.org/spreadsheetml/2006/main" totalsRowCount="1" ref="B142:E156" displayName="Table_5" name="Table_5" id="5">
  <tableColumns count="4">
    <tableColumn name="20% DISCOUNT" id="1"/>
    <tableColumn name="Total" id="2"/>
    <tableColumn totalsRowFunction="custom" name="Food 75%" id="3"/>
    <tableColumn totalsRowFunction="custom" name="Drink 25%" id="4"/>
  </tableColumns>
  <tableStyleInfo name="WE 12.10.25-style 5" showColumnStripes="0" showFirstColumn="1" showLastColumn="1" showRowStripes="1"/>
</table>
</file>

<file path=xl/tables/table6.xml><?xml version="1.0" encoding="utf-8"?>
<table xmlns="http://schemas.openxmlformats.org/spreadsheetml/2006/main" ref="B159:E165" displayName="Table_6" name="Table_6" id="6">
  <tableColumns count="4">
    <tableColumn name="LOYALTY" id="1"/>
    <tableColumn name="Total " id="2"/>
    <tableColumn name="Food 75%" id="3"/>
    <tableColumn name="drink 25% " id="4"/>
  </tableColumns>
  <tableStyleInfo name="WE 12.10.25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75.86"/>
    <col customWidth="1" min="3" max="3" width="15.57"/>
    <col customWidth="1" min="4" max="9" width="15.71"/>
    <col customWidth="1" min="10" max="10" width="15.43"/>
    <col customWidth="1" min="11" max="11" width="16.57"/>
    <col customWidth="1" min="12" max="12" width="18.43"/>
    <col customWidth="1" min="13" max="13" width="13.71"/>
    <col customWidth="1" min="14" max="16" width="9.71"/>
    <col customWidth="1" min="17" max="17" width="8.29"/>
    <col customWidth="1" min="18" max="26" width="9.29"/>
  </cols>
  <sheetData>
    <row r="1" ht="14.25" customHeight="1">
      <c r="B1" s="1" t="s">
        <v>0</v>
      </c>
      <c r="K1" s="2"/>
      <c r="L1" s="3"/>
    </row>
    <row r="2" ht="14.25" customHeight="1">
      <c r="B2" s="4"/>
      <c r="C2" s="5"/>
      <c r="D2" s="5"/>
      <c r="E2" s="5"/>
      <c r="F2" s="5"/>
      <c r="G2" s="5"/>
      <c r="H2" s="5"/>
      <c r="I2" s="5"/>
      <c r="J2" s="5"/>
      <c r="K2" s="6"/>
      <c r="L2" s="3"/>
    </row>
    <row r="3" ht="14.25" customHeight="1">
      <c r="B3" s="7" t="s">
        <v>1</v>
      </c>
      <c r="C3" s="8"/>
      <c r="D3" s="8"/>
      <c r="E3" s="8"/>
      <c r="F3" s="8"/>
      <c r="G3" s="8"/>
      <c r="H3" s="8"/>
      <c r="I3" s="8"/>
      <c r="J3" s="9"/>
      <c r="K3" s="10"/>
      <c r="L3" s="3"/>
    </row>
    <row r="4" ht="15.75" customHeight="1">
      <c r="B4" s="11"/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3"/>
      <c r="K4" s="14"/>
      <c r="L4" s="15"/>
    </row>
    <row r="5" ht="14.25" customHeight="1">
      <c r="B5" s="16"/>
      <c r="C5" s="17">
        <v>45936.0</v>
      </c>
      <c r="D5" s="17">
        <f t="shared" ref="D5:I5" si="1">C5+1</f>
        <v>45937</v>
      </c>
      <c r="E5" s="17">
        <f t="shared" si="1"/>
        <v>45938</v>
      </c>
      <c r="F5" s="17">
        <f t="shared" si="1"/>
        <v>45939</v>
      </c>
      <c r="G5" s="17">
        <f t="shared" si="1"/>
        <v>45940</v>
      </c>
      <c r="H5" s="17">
        <f t="shared" si="1"/>
        <v>45941</v>
      </c>
      <c r="I5" s="17">
        <f t="shared" si="1"/>
        <v>45942</v>
      </c>
      <c r="J5" s="18" t="s">
        <v>9</v>
      </c>
      <c r="K5" s="19" t="s">
        <v>10</v>
      </c>
      <c r="M5" s="20" t="s">
        <v>11</v>
      </c>
    </row>
    <row r="6" ht="14.25" customHeight="1">
      <c r="B6" s="21" t="s">
        <v>12</v>
      </c>
      <c r="C6" s="19"/>
      <c r="D6" s="22"/>
      <c r="E6" s="22"/>
      <c r="F6" s="22"/>
      <c r="G6" s="22"/>
      <c r="H6" s="22"/>
      <c r="I6" s="22"/>
      <c r="J6" s="23"/>
      <c r="K6" s="16"/>
      <c r="L6" s="15"/>
    </row>
    <row r="7" ht="16.5" customHeight="1">
      <c r="B7" s="16" t="s">
        <v>13</v>
      </c>
      <c r="C7" s="24">
        <v>2743.1</v>
      </c>
      <c r="D7" s="24">
        <v>2133.8</v>
      </c>
      <c r="E7" s="24">
        <v>5585.8</v>
      </c>
      <c r="F7" s="24">
        <v>5102.4</v>
      </c>
      <c r="G7" s="24">
        <v>4289.0</v>
      </c>
      <c r="H7" s="24">
        <v>7282.4</v>
      </c>
      <c r="I7" s="24">
        <v>3438.7</v>
      </c>
      <c r="J7" s="25">
        <f t="shared" ref="J7:J13" si="2">SUM(C7:I7)</f>
        <v>30575.2</v>
      </c>
      <c r="K7" s="24">
        <v>24857.89</v>
      </c>
      <c r="L7" s="26"/>
      <c r="M7" s="27">
        <f>(K7*1.23)-J7</f>
        <v>0.004699999998</v>
      </c>
    </row>
    <row r="8" ht="14.25" customHeight="1">
      <c r="B8" s="16" t="s">
        <v>14</v>
      </c>
      <c r="C8" s="24">
        <v>14716.6</v>
      </c>
      <c r="D8" s="24">
        <v>11908.4</v>
      </c>
      <c r="E8" s="24">
        <v>20283.8</v>
      </c>
      <c r="F8" s="24">
        <v>27637.0</v>
      </c>
      <c r="G8" s="24">
        <v>20118.71</v>
      </c>
      <c r="H8" s="24">
        <v>33317.9</v>
      </c>
      <c r="I8" s="24">
        <v>20403.7</v>
      </c>
      <c r="J8" s="25">
        <f t="shared" si="2"/>
        <v>148386.11</v>
      </c>
      <c r="K8" s="24">
        <v>130736.66</v>
      </c>
      <c r="L8" s="26"/>
      <c r="M8" s="27">
        <f>(K8*1.135)-J8</f>
        <v>-0.0009000000136</v>
      </c>
    </row>
    <row r="9" ht="14.25" customHeight="1">
      <c r="B9" s="16" t="s">
        <v>15</v>
      </c>
      <c r="C9" s="24">
        <v>4938.0</v>
      </c>
      <c r="D9" s="24">
        <v>3206.0</v>
      </c>
      <c r="E9" s="24">
        <v>6282.5</v>
      </c>
      <c r="F9" s="24">
        <v>7440.0</v>
      </c>
      <c r="G9" s="24">
        <v>6383.0</v>
      </c>
      <c r="H9" s="24">
        <v>12526.0</v>
      </c>
      <c r="I9" s="24">
        <v>4896.5</v>
      </c>
      <c r="J9" s="25">
        <f t="shared" si="2"/>
        <v>45672</v>
      </c>
      <c r="K9" s="24">
        <v>37131.71</v>
      </c>
      <c r="L9" s="26"/>
      <c r="M9" s="27">
        <f>(K9*1.23)-J9</f>
        <v>0.003299999997</v>
      </c>
    </row>
    <row r="10" ht="14.25" customHeight="1">
      <c r="B10" s="16" t="s">
        <v>16</v>
      </c>
      <c r="C10" s="24">
        <v>1030.16</v>
      </c>
      <c r="D10" s="24">
        <v>768.45</v>
      </c>
      <c r="E10" s="24">
        <v>2497.64</v>
      </c>
      <c r="F10" s="24">
        <v>3171.72</v>
      </c>
      <c r="G10" s="24">
        <v>1037.14</v>
      </c>
      <c r="H10" s="24">
        <v>1905.9</v>
      </c>
      <c r="I10" s="24">
        <v>898.92</v>
      </c>
      <c r="J10" s="25">
        <f t="shared" si="2"/>
        <v>11309.93</v>
      </c>
      <c r="K10" s="24">
        <v>9964.7</v>
      </c>
      <c r="L10" s="28">
        <f>J10-K10</f>
        <v>1345.23</v>
      </c>
      <c r="M10" s="27">
        <f>(K10*1.135)-J10</f>
        <v>0.004500000003</v>
      </c>
    </row>
    <row r="11" ht="14.25" customHeight="1">
      <c r="B11" s="16" t="s">
        <v>17</v>
      </c>
      <c r="C11" s="24"/>
      <c r="D11" s="24"/>
      <c r="E11" s="24"/>
      <c r="F11" s="24">
        <v>430.5</v>
      </c>
      <c r="G11" s="24"/>
      <c r="H11" s="24">
        <v>32.0</v>
      </c>
      <c r="I11" s="24">
        <v>16.0</v>
      </c>
      <c r="J11" s="25">
        <f t="shared" si="2"/>
        <v>478.5</v>
      </c>
      <c r="K11" s="24">
        <v>389.02</v>
      </c>
      <c r="L11" s="29"/>
      <c r="M11" s="27">
        <f t="shared" ref="M11:M12" si="3">(K11*1.23)-J11</f>
        <v>-0.0054</v>
      </c>
    </row>
    <row r="12" ht="14.25" customHeight="1">
      <c r="B12" s="16" t="s">
        <v>18</v>
      </c>
      <c r="C12" s="24">
        <v>25.27</v>
      </c>
      <c r="D12" s="24">
        <v>1.46</v>
      </c>
      <c r="E12" s="24">
        <v>5.8</v>
      </c>
      <c r="F12" s="24">
        <v>6.28</v>
      </c>
      <c r="G12" s="24">
        <v>73.21</v>
      </c>
      <c r="H12" s="24">
        <v>51.28</v>
      </c>
      <c r="I12" s="24">
        <v>15.87</v>
      </c>
      <c r="J12" s="25">
        <f t="shared" si="2"/>
        <v>179.17</v>
      </c>
      <c r="K12" s="24">
        <v>145.67</v>
      </c>
      <c r="L12" s="26"/>
      <c r="M12" s="27">
        <f t="shared" si="3"/>
        <v>0.0041</v>
      </c>
    </row>
    <row r="13" ht="14.25" customHeight="1">
      <c r="A13" s="30"/>
      <c r="B13" s="31" t="s">
        <v>9</v>
      </c>
      <c r="C13" s="32">
        <f t="shared" ref="C13:I13" si="4">SUM(C7:C12)</f>
        <v>23453.13</v>
      </c>
      <c r="D13" s="32">
        <f t="shared" si="4"/>
        <v>18018.11</v>
      </c>
      <c r="E13" s="32">
        <f t="shared" si="4"/>
        <v>34655.54</v>
      </c>
      <c r="F13" s="32">
        <f t="shared" si="4"/>
        <v>43787.9</v>
      </c>
      <c r="G13" s="32">
        <f t="shared" si="4"/>
        <v>31901.06</v>
      </c>
      <c r="H13" s="32">
        <f t="shared" si="4"/>
        <v>55115.48</v>
      </c>
      <c r="I13" s="32">
        <f t="shared" si="4"/>
        <v>29669.69</v>
      </c>
      <c r="J13" s="33">
        <f t="shared" si="2"/>
        <v>236600.91</v>
      </c>
      <c r="K13" s="32">
        <f>SUM(K7:K12)</f>
        <v>203225.65</v>
      </c>
      <c r="L13" s="34"/>
      <c r="M13" s="35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B14" s="16"/>
      <c r="C14" s="16"/>
      <c r="D14" s="36"/>
      <c r="E14" s="24"/>
      <c r="F14" s="16"/>
      <c r="G14" s="16"/>
      <c r="H14" s="16"/>
      <c r="I14" s="16"/>
      <c r="J14" s="25"/>
      <c r="K14" s="24"/>
    </row>
    <row r="15" ht="15.0" customHeight="1">
      <c r="B15" s="16" t="s">
        <v>19</v>
      </c>
      <c r="C15" s="24">
        <f>+'CC bank '!E18</f>
        <v>22816.69</v>
      </c>
      <c r="D15" s="24">
        <f>+'CC bank '!F18</f>
        <v>17850.8</v>
      </c>
      <c r="E15" s="24">
        <f>+'CC bank '!G18</f>
        <v>23735.27</v>
      </c>
      <c r="F15" s="24">
        <f>+'CC bank '!H18</f>
        <v>22405.6</v>
      </c>
      <c r="G15" s="24">
        <f>+'CC bank '!I18</f>
        <v>29633.45</v>
      </c>
      <c r="H15" s="24">
        <f>+'CC bank '!J18</f>
        <v>45922.34</v>
      </c>
      <c r="I15" s="24">
        <f>+'CC bank '!K18</f>
        <v>27791.93</v>
      </c>
      <c r="J15" s="25">
        <f t="shared" ref="J15:J18" si="5">SUM(C15:I15)</f>
        <v>190156.08</v>
      </c>
      <c r="K15" s="24">
        <f>'CC bank '!L18</f>
        <v>190156.08</v>
      </c>
      <c r="L15" s="37"/>
      <c r="M15" s="27">
        <f t="shared" ref="M15:M20" si="6">J15-K15</f>
        <v>0</v>
      </c>
    </row>
    <row r="16" ht="14.25" customHeight="1">
      <c r="B16" s="16" t="s">
        <v>20</v>
      </c>
      <c r="C16" s="24">
        <v>740.0</v>
      </c>
      <c r="D16" s="24">
        <v>650.0</v>
      </c>
      <c r="E16" s="24">
        <v>1030.0</v>
      </c>
      <c r="F16" s="24">
        <v>2130.0</v>
      </c>
      <c r="G16" s="24">
        <v>2950.0</v>
      </c>
      <c r="H16" s="24">
        <v>4695.0</v>
      </c>
      <c r="I16" s="24">
        <f>3550</f>
        <v>3550</v>
      </c>
      <c r="J16" s="25">
        <f t="shared" si="5"/>
        <v>15745</v>
      </c>
      <c r="K16" s="24">
        <v>15745.0</v>
      </c>
      <c r="L16" s="37"/>
      <c r="M16" s="38">
        <f t="shared" si="6"/>
        <v>0</v>
      </c>
    </row>
    <row r="17" ht="14.25" customHeight="1">
      <c r="B17" s="16" t="s">
        <v>21</v>
      </c>
      <c r="C17" s="39">
        <v>740.0</v>
      </c>
      <c r="D17" s="39">
        <v>650.0</v>
      </c>
      <c r="E17" s="39">
        <v>1030.0</v>
      </c>
      <c r="F17" s="39">
        <v>2130.0</v>
      </c>
      <c r="G17" s="39">
        <v>2950.0</v>
      </c>
      <c r="H17" s="39">
        <v>4695.0</v>
      </c>
      <c r="I17" s="39">
        <v>3550.0</v>
      </c>
      <c r="J17" s="25">
        <f t="shared" si="5"/>
        <v>15745</v>
      </c>
      <c r="K17" s="24">
        <v>15745.0</v>
      </c>
      <c r="L17" s="3"/>
      <c r="M17" s="38">
        <f t="shared" si="6"/>
        <v>0</v>
      </c>
    </row>
    <row r="18" ht="14.25" customHeight="1">
      <c r="B18" s="16" t="s">
        <v>22</v>
      </c>
      <c r="C18" s="16"/>
      <c r="D18" s="24"/>
      <c r="E18" s="16"/>
      <c r="F18" s="24">
        <v>12496.25</v>
      </c>
      <c r="G18" s="24">
        <v>662.06</v>
      </c>
      <c r="H18" s="16"/>
      <c r="I18" s="24">
        <f>290-150</f>
        <v>140</v>
      </c>
      <c r="J18" s="40">
        <f t="shared" si="5"/>
        <v>13298.31</v>
      </c>
      <c r="K18" s="24">
        <v>13448.31</v>
      </c>
      <c r="L18" s="41"/>
      <c r="M18" s="42">
        <f t="shared" si="6"/>
        <v>-150</v>
      </c>
    </row>
    <row r="19" ht="14.25" customHeight="1">
      <c r="B19" s="16" t="s">
        <v>23</v>
      </c>
      <c r="C19" s="16"/>
      <c r="D19" s="24"/>
      <c r="E19" s="24"/>
      <c r="F19" s="16"/>
      <c r="G19" s="16"/>
      <c r="H19" s="43"/>
      <c r="I19" s="16"/>
      <c r="J19" s="25"/>
      <c r="K19" s="24"/>
      <c r="L19" s="37"/>
      <c r="M19" s="27">
        <f t="shared" si="6"/>
        <v>0</v>
      </c>
    </row>
    <row r="20" ht="13.5" customHeight="1">
      <c r="B20" s="44" t="s">
        <v>24</v>
      </c>
      <c r="C20" s="45">
        <f>-'Physical GVs'!H4</f>
        <v>100</v>
      </c>
      <c r="D20" s="46">
        <f>-'Digital GVs'!H4</f>
        <v>265.3</v>
      </c>
      <c r="E20" s="47">
        <f>-'Physical GVs'!H9</f>
        <v>150</v>
      </c>
      <c r="F20" s="48">
        <f>-'Digital GVs'!H9</f>
        <v>200</v>
      </c>
      <c r="G20" s="48">
        <f>-'Physical GVs'!H19-'Digital GVs'!H15</f>
        <v>400</v>
      </c>
      <c r="H20" s="48">
        <f>-'Physical GVs'!H37-'Digital GVs'!H27</f>
        <v>2446.2</v>
      </c>
      <c r="I20" s="45">
        <f>-'Physical GVs'!H48-'Digital GVs'!H33</f>
        <v>318.9</v>
      </c>
      <c r="J20" s="49">
        <f t="shared" ref="J20:J34" si="7">SUM(C20:I20)</f>
        <v>3880.4</v>
      </c>
      <c r="K20" s="50">
        <v>3880.4</v>
      </c>
      <c r="L20" s="51">
        <f>J20-J21</f>
        <v>3230.4</v>
      </c>
      <c r="M20" s="52">
        <f t="shared" si="6"/>
        <v>0</v>
      </c>
    </row>
    <row r="21" ht="13.5" customHeight="1">
      <c r="A21" s="27"/>
      <c r="B21" s="53" t="s">
        <v>25</v>
      </c>
      <c r="C21" s="54">
        <v>0.0</v>
      </c>
      <c r="D21" s="54">
        <v>0.0</v>
      </c>
      <c r="E21" s="54">
        <v>0.0</v>
      </c>
      <c r="F21" s="54">
        <f>'Physical GVs'!H14</f>
        <v>150</v>
      </c>
      <c r="G21" s="54">
        <v>0.0</v>
      </c>
      <c r="H21" s="54">
        <f>'Physical GVs'!H24</f>
        <v>150</v>
      </c>
      <c r="I21" s="54">
        <f>'Physical GVs'!H44</f>
        <v>350</v>
      </c>
      <c r="J21" s="55">
        <f t="shared" si="7"/>
        <v>650</v>
      </c>
      <c r="K21" s="56">
        <v>650.0</v>
      </c>
      <c r="L21" s="51">
        <f>K20-K21</f>
        <v>3230.4</v>
      </c>
      <c r="M21" s="52">
        <f>K21-J21</f>
        <v>0</v>
      </c>
    </row>
    <row r="22" ht="14.25" customHeight="1">
      <c r="B22" s="16" t="s">
        <v>26</v>
      </c>
      <c r="C22" s="16">
        <v>209.8</v>
      </c>
      <c r="D22" s="16">
        <v>149.5</v>
      </c>
      <c r="E22" s="16">
        <v>339.9</v>
      </c>
      <c r="F22" s="16">
        <v>138.0</v>
      </c>
      <c r="G22" s="16">
        <v>183.71</v>
      </c>
      <c r="H22" s="16">
        <v>86.4</v>
      </c>
      <c r="I22" s="16">
        <v>41.3</v>
      </c>
      <c r="J22" s="57">
        <f t="shared" si="7"/>
        <v>1148.61</v>
      </c>
      <c r="K22" s="24">
        <v>1148.61</v>
      </c>
      <c r="L22" s="37"/>
      <c r="M22" s="38">
        <f t="shared" ref="M22:M33" si="8">J22-K22</f>
        <v>0</v>
      </c>
    </row>
    <row r="23" ht="14.25" customHeight="1">
      <c r="B23" s="16" t="s">
        <v>27</v>
      </c>
      <c r="C23" s="16">
        <v>1000.0</v>
      </c>
      <c r="D23" s="16"/>
      <c r="E23" s="24">
        <f>8000+2299.95</f>
        <v>10299.95</v>
      </c>
      <c r="F23" s="24">
        <v>7750.0</v>
      </c>
      <c r="G23" s="24"/>
      <c r="H23" s="16">
        <v>4875.0</v>
      </c>
      <c r="I23" s="16"/>
      <c r="J23" s="40">
        <f t="shared" si="7"/>
        <v>23924.95</v>
      </c>
      <c r="K23" s="24">
        <f>21625+2299.95</f>
        <v>23924.95</v>
      </c>
      <c r="L23" s="37"/>
      <c r="M23" s="38">
        <f t="shared" si="8"/>
        <v>0</v>
      </c>
    </row>
    <row r="24" ht="15.0" customHeight="1">
      <c r="B24" s="58" t="s">
        <v>28</v>
      </c>
      <c r="C24" s="59"/>
      <c r="D24" s="16"/>
      <c r="E24" s="43"/>
      <c r="F24" s="16"/>
      <c r="G24" s="16"/>
      <c r="H24" s="16"/>
      <c r="I24" s="16"/>
      <c r="J24" s="25">
        <f t="shared" si="7"/>
        <v>0</v>
      </c>
      <c r="K24" s="24"/>
      <c r="L24" s="3"/>
      <c r="M24" s="27">
        <f t="shared" si="8"/>
        <v>0</v>
      </c>
    </row>
    <row r="25" ht="13.5" customHeight="1">
      <c r="B25" s="58" t="s">
        <v>29</v>
      </c>
      <c r="C25" s="60">
        <f>'CC TIPS'!B6</f>
        <v>1434.43</v>
      </c>
      <c r="D25" s="60">
        <f>'CC TIPS'!B15</f>
        <v>878.79</v>
      </c>
      <c r="E25" s="60">
        <f>'CC TIPS'!B26</f>
        <v>916.57</v>
      </c>
      <c r="F25" s="60">
        <f>'CC TIPS'!B35</f>
        <v>1181.45</v>
      </c>
      <c r="G25" s="60">
        <f>'CC TIPS'!B44-50</f>
        <v>1973.06</v>
      </c>
      <c r="H25" s="60">
        <f>'CC TIPS'!B54</f>
        <v>2711.2</v>
      </c>
      <c r="I25" s="60">
        <f>'CC TIPS'!B63</f>
        <v>2083.29</v>
      </c>
      <c r="J25" s="25">
        <f t="shared" si="7"/>
        <v>11178.79</v>
      </c>
      <c r="K25" s="60">
        <f>'CC TIPS'!B6+'CC TIPS'!B15+'CC TIPS'!B26+'CC TIPS'!B35+'CC TIPS'!B44+'CC TIPS'!B54+'CC TIPS'!B63</f>
        <v>11228.79</v>
      </c>
      <c r="L25" s="61" t="str">
        <f>'CC TIPS'!B6+'CC TIPS'!B15+'CC TIPS'!B26+'CC TIPS'!B35+'CC TIPS'!B44+'CC TIPS'!B54+'CC TIPS'!#REF!</f>
        <v>#ERROR!</v>
      </c>
      <c r="M25" s="62">
        <f t="shared" si="8"/>
        <v>-50</v>
      </c>
    </row>
    <row r="26" ht="14.25" customHeight="1">
      <c r="B26" s="58" t="s">
        <v>30</v>
      </c>
      <c r="C26" s="16"/>
      <c r="D26" s="16"/>
      <c r="E26" s="16"/>
      <c r="F26" s="16"/>
      <c r="G26" s="16">
        <v>4.3</v>
      </c>
      <c r="H26" s="63">
        <v>35.0</v>
      </c>
      <c r="I26" s="24">
        <v>47.0</v>
      </c>
      <c r="J26" s="25">
        <f t="shared" si="7"/>
        <v>86.3</v>
      </c>
      <c r="K26" s="24"/>
      <c r="L26" s="37" t="s">
        <v>31</v>
      </c>
      <c r="M26" s="62">
        <f t="shared" si="8"/>
        <v>86.3</v>
      </c>
    </row>
    <row r="27" ht="14.25" customHeight="1">
      <c r="B27" s="16" t="s">
        <v>32</v>
      </c>
      <c r="C27" s="16">
        <v>28.4</v>
      </c>
      <c r="D27" s="24"/>
      <c r="E27" s="16"/>
      <c r="F27" s="16"/>
      <c r="G27" s="16">
        <v>62.6</v>
      </c>
      <c r="H27" s="16"/>
      <c r="I27" s="24">
        <v>61.52</v>
      </c>
      <c r="J27" s="40">
        <f t="shared" si="7"/>
        <v>152.52</v>
      </c>
      <c r="K27" s="24">
        <v>152.52</v>
      </c>
      <c r="L27" s="64"/>
      <c r="M27" s="38">
        <f t="shared" si="8"/>
        <v>0</v>
      </c>
    </row>
    <row r="28" ht="14.25" customHeight="1">
      <c r="B28" s="16" t="s">
        <v>33</v>
      </c>
      <c r="C28" s="63"/>
      <c r="D28" s="24"/>
      <c r="E28" s="16"/>
      <c r="F28" s="16"/>
      <c r="G28" s="16"/>
      <c r="H28" s="16"/>
      <c r="I28" s="24">
        <v>150.0</v>
      </c>
      <c r="J28" s="40">
        <f t="shared" si="7"/>
        <v>150</v>
      </c>
      <c r="K28" s="24"/>
      <c r="L28" s="64"/>
      <c r="M28" s="42">
        <f t="shared" si="8"/>
        <v>150</v>
      </c>
    </row>
    <row r="29" ht="14.25" customHeight="1">
      <c r="B29" s="16" t="s">
        <v>34</v>
      </c>
      <c r="C29" s="16"/>
      <c r="D29" s="16"/>
      <c r="E29" s="24"/>
      <c r="F29" s="58"/>
      <c r="G29" s="58"/>
      <c r="H29" s="63"/>
      <c r="I29" s="63"/>
      <c r="J29" s="25">
        <f t="shared" si="7"/>
        <v>0</v>
      </c>
      <c r="K29" s="24"/>
      <c r="L29" s="51"/>
      <c r="M29" s="27">
        <f t="shared" si="8"/>
        <v>0</v>
      </c>
    </row>
    <row r="30" ht="14.25" customHeight="1">
      <c r="B30" s="58"/>
      <c r="C30" s="16"/>
      <c r="D30" s="16"/>
      <c r="E30" s="16"/>
      <c r="F30" s="16"/>
      <c r="G30" s="16"/>
      <c r="H30" s="63"/>
      <c r="I30" s="19"/>
      <c r="J30" s="25">
        <f t="shared" si="7"/>
        <v>0</v>
      </c>
      <c r="K30" s="24"/>
      <c r="M30" s="38">
        <f t="shared" si="8"/>
        <v>0</v>
      </c>
    </row>
    <row r="31" ht="14.25" customHeight="1">
      <c r="B31" s="16" t="s">
        <v>35</v>
      </c>
      <c r="C31" s="16"/>
      <c r="D31" s="36"/>
      <c r="E31" s="24"/>
      <c r="F31" s="16"/>
      <c r="G31" s="16"/>
      <c r="H31" s="24"/>
      <c r="I31" s="16"/>
      <c r="J31" s="25">
        <f t="shared" si="7"/>
        <v>0</v>
      </c>
      <c r="K31" s="24"/>
      <c r="L31" s="37"/>
      <c r="M31" s="38">
        <f t="shared" si="8"/>
        <v>0</v>
      </c>
    </row>
    <row r="32" ht="14.25" customHeight="1">
      <c r="A32" s="65"/>
      <c r="B32" s="66" t="s">
        <v>36</v>
      </c>
      <c r="C32" s="66"/>
      <c r="D32" s="67"/>
      <c r="E32" s="66"/>
      <c r="F32" s="66"/>
      <c r="G32" s="66"/>
      <c r="H32" s="66"/>
      <c r="I32" s="68">
        <v>46.8</v>
      </c>
      <c r="J32" s="69">
        <f t="shared" si="7"/>
        <v>46.8</v>
      </c>
      <c r="K32" s="68"/>
      <c r="L32" s="65"/>
      <c r="M32" s="70">
        <f t="shared" si="8"/>
        <v>46.8</v>
      </c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4.25" customHeight="1">
      <c r="B33" s="16" t="s">
        <v>9</v>
      </c>
      <c r="C33" s="24">
        <f t="shared" ref="C33:F33" si="9">C15+C16+C18+C20-C21+C22+C23-C24-C25-C26+C27+C28+C31+C29+C19+C32</f>
        <v>23460.46</v>
      </c>
      <c r="D33" s="24">
        <f t="shared" si="9"/>
        <v>18036.81</v>
      </c>
      <c r="E33" s="24">
        <f t="shared" si="9"/>
        <v>34638.55</v>
      </c>
      <c r="F33" s="24">
        <f t="shared" si="9"/>
        <v>43788.4</v>
      </c>
      <c r="G33" s="24">
        <f>G15+G16+G18+G20-G21+G22+G23-G24-G25-G26+G27+G28+G31+G29+G19+G32+G24</f>
        <v>31914.46</v>
      </c>
      <c r="H33" s="24">
        <f>H15+H16+H18+H20-H21+H22+H23-H24-H25-H26+H27+H28+H31+H29+H19+H32-H16+H17</f>
        <v>55128.74</v>
      </c>
      <c r="I33" s="24">
        <f>I15+I16+I18+I20-I21+I22+I23-I24-I25-I26+I27+I28+I31+I29+I19+I32</f>
        <v>29620.16</v>
      </c>
      <c r="J33" s="25">
        <f t="shared" si="7"/>
        <v>236587.58</v>
      </c>
      <c r="K33" s="25"/>
      <c r="M33" s="27">
        <f t="shared" si="8"/>
        <v>236587.58</v>
      </c>
    </row>
    <row r="34" ht="14.25" customHeight="1">
      <c r="B34" s="16"/>
      <c r="C34" s="16"/>
      <c r="D34" s="36"/>
      <c r="E34" s="16"/>
      <c r="F34" s="16"/>
      <c r="G34" s="16"/>
      <c r="H34" s="16"/>
      <c r="I34" s="16"/>
      <c r="J34" s="25">
        <f t="shared" si="7"/>
        <v>0</v>
      </c>
      <c r="K34" s="24"/>
      <c r="M34" s="27"/>
    </row>
    <row r="35" ht="14.25" customHeight="1">
      <c r="B35" s="16" t="s">
        <v>11</v>
      </c>
      <c r="C35" s="71">
        <f t="shared" ref="C35:J35" si="10">C33-C13</f>
        <v>7.33</v>
      </c>
      <c r="D35" s="71">
        <f t="shared" si="10"/>
        <v>18.7</v>
      </c>
      <c r="E35" s="71">
        <f t="shared" si="10"/>
        <v>-16.99</v>
      </c>
      <c r="F35" s="71">
        <f t="shared" si="10"/>
        <v>0.5</v>
      </c>
      <c r="G35" s="71">
        <f t="shared" si="10"/>
        <v>13.4</v>
      </c>
      <c r="H35" s="71">
        <f t="shared" si="10"/>
        <v>13.26</v>
      </c>
      <c r="I35" s="72">
        <f t="shared" si="10"/>
        <v>-49.53</v>
      </c>
      <c r="J35" s="73">
        <f t="shared" si="10"/>
        <v>-13.33</v>
      </c>
      <c r="K35" s="71"/>
      <c r="L35" s="27"/>
      <c r="M35" s="27">
        <f>J35</f>
        <v>-13.33</v>
      </c>
    </row>
    <row r="36" ht="14.25" customHeight="1">
      <c r="A36" s="74"/>
      <c r="B36" s="75"/>
      <c r="C36" s="75" t="s">
        <v>37</v>
      </c>
      <c r="D36" s="76"/>
      <c r="E36" s="75"/>
      <c r="F36" s="75"/>
      <c r="G36" s="74"/>
      <c r="H36" s="75"/>
      <c r="I36" s="75"/>
      <c r="J36" s="77"/>
      <c r="K36" s="75"/>
      <c r="L36" s="78"/>
      <c r="M36" s="78">
        <f t="shared" ref="M36:M38" si="12">J36-K36</f>
        <v>0</v>
      </c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ht="14.25" customHeight="1">
      <c r="A37" s="79"/>
      <c r="B37" s="80" t="s">
        <v>38</v>
      </c>
      <c r="C37" s="81">
        <f t="shared" ref="C37:K37" si="11">C15-C25</f>
        <v>21382.26</v>
      </c>
      <c r="D37" s="82">
        <f t="shared" si="11"/>
        <v>16972.01</v>
      </c>
      <c r="E37" s="82">
        <f t="shared" si="11"/>
        <v>22818.7</v>
      </c>
      <c r="F37" s="82">
        <f t="shared" si="11"/>
        <v>21224.15</v>
      </c>
      <c r="G37" s="82">
        <f t="shared" si="11"/>
        <v>27660.39</v>
      </c>
      <c r="H37" s="82">
        <f t="shared" si="11"/>
        <v>43211.14</v>
      </c>
      <c r="I37" s="82">
        <f t="shared" si="11"/>
        <v>25708.64</v>
      </c>
      <c r="J37" s="83">
        <f t="shared" si="11"/>
        <v>178977.29</v>
      </c>
      <c r="K37" s="84">
        <f t="shared" si="11"/>
        <v>178927.29</v>
      </c>
      <c r="L37" s="27"/>
      <c r="M37" s="27">
        <f t="shared" si="12"/>
        <v>50</v>
      </c>
    </row>
    <row r="38" ht="14.25" customHeight="1">
      <c r="A38" s="79"/>
      <c r="B38" s="80" t="s">
        <v>39</v>
      </c>
      <c r="C38" s="85">
        <v>21382.26</v>
      </c>
      <c r="D38" s="86">
        <v>16972.01</v>
      </c>
      <c r="E38" s="85">
        <v>22808.7</v>
      </c>
      <c r="F38" s="85">
        <v>21224.15</v>
      </c>
      <c r="G38" s="85">
        <v>29633.45</v>
      </c>
      <c r="H38" s="85">
        <v>43361.14</v>
      </c>
      <c r="I38" s="85">
        <v>25708.64</v>
      </c>
      <c r="J38" s="87">
        <f>SUM(C38:I38)</f>
        <v>181090.35</v>
      </c>
      <c r="K38" s="81"/>
      <c r="L38" s="27"/>
      <c r="M38" s="27">
        <f t="shared" si="12"/>
        <v>181090.35</v>
      </c>
    </row>
    <row r="39" ht="14.25" customHeight="1">
      <c r="A39" s="79"/>
      <c r="B39" s="88" t="s">
        <v>40</v>
      </c>
      <c r="C39" s="89">
        <f t="shared" ref="C39:J39" si="13">C37-C38</f>
        <v>0</v>
      </c>
      <c r="D39" s="89">
        <f t="shared" si="13"/>
        <v>0</v>
      </c>
      <c r="E39" s="89">
        <f t="shared" si="13"/>
        <v>10</v>
      </c>
      <c r="F39" s="89">
        <f t="shared" si="13"/>
        <v>0</v>
      </c>
      <c r="G39" s="89">
        <f t="shared" si="13"/>
        <v>-1973.06</v>
      </c>
      <c r="H39" s="89">
        <f t="shared" si="13"/>
        <v>-150</v>
      </c>
      <c r="I39" s="89">
        <f t="shared" si="13"/>
        <v>0</v>
      </c>
      <c r="J39" s="90">
        <f t="shared" si="13"/>
        <v>-2113.06</v>
      </c>
      <c r="K39" s="91"/>
      <c r="L39" s="27"/>
      <c r="M39" s="27"/>
    </row>
    <row r="40" ht="14.25" customHeight="1">
      <c r="B40" s="44"/>
      <c r="C40" s="92"/>
      <c r="D40" s="47"/>
      <c r="E40" s="93"/>
      <c r="F40" s="48"/>
      <c r="G40" s="50"/>
      <c r="H40" s="50"/>
      <c r="I40" s="48"/>
      <c r="J40" s="94"/>
      <c r="K40" s="50"/>
      <c r="M40" s="27"/>
    </row>
    <row r="41" ht="14.25" customHeight="1">
      <c r="B41" s="95"/>
      <c r="C41" s="96">
        <f t="shared" ref="C41:I41" si="14">C35-C39</f>
        <v>7.33</v>
      </c>
      <c r="D41" s="96">
        <f t="shared" si="14"/>
        <v>18.7</v>
      </c>
      <c r="E41" s="96">
        <f t="shared" si="14"/>
        <v>-26.99</v>
      </c>
      <c r="F41" s="96">
        <f t="shared" si="14"/>
        <v>0.5</v>
      </c>
      <c r="G41" s="96">
        <f t="shared" si="14"/>
        <v>1986.46</v>
      </c>
      <c r="H41" s="96">
        <f t="shared" si="14"/>
        <v>163.26</v>
      </c>
      <c r="I41" s="96">
        <f t="shared" si="14"/>
        <v>-49.53</v>
      </c>
      <c r="J41" s="97">
        <f t="shared" ref="J41:J42" si="16">SUM(C41:I41)</f>
        <v>2099.73</v>
      </c>
      <c r="K41" s="98"/>
      <c r="M41" s="15">
        <f t="shared" ref="M41:M42" si="17">J41-K41</f>
        <v>2099.73</v>
      </c>
    </row>
    <row r="42" ht="14.25" customHeight="1">
      <c r="B42" s="99" t="s">
        <v>41</v>
      </c>
      <c r="C42" s="100">
        <f t="shared" ref="C42:I42" si="15">C41</f>
        <v>7.33</v>
      </c>
      <c r="D42" s="100">
        <f t="shared" si="15"/>
        <v>18.7</v>
      </c>
      <c r="E42" s="101">
        <f t="shared" si="15"/>
        <v>-26.99</v>
      </c>
      <c r="F42" s="100">
        <f t="shared" si="15"/>
        <v>0.5</v>
      </c>
      <c r="G42" s="100">
        <f t="shared" si="15"/>
        <v>1986.46</v>
      </c>
      <c r="H42" s="100">
        <f t="shared" si="15"/>
        <v>163.26</v>
      </c>
      <c r="I42" s="100">
        <f t="shared" si="15"/>
        <v>-49.53</v>
      </c>
      <c r="J42" s="102">
        <f t="shared" si="16"/>
        <v>2099.73</v>
      </c>
      <c r="K42" s="103"/>
      <c r="M42" s="27">
        <f t="shared" si="17"/>
        <v>2099.73</v>
      </c>
    </row>
    <row r="43" ht="14.25" customHeight="1">
      <c r="B43" s="3"/>
      <c r="C43" s="15"/>
      <c r="D43" s="15"/>
      <c r="E43" s="15"/>
      <c r="F43" s="15"/>
      <c r="G43" s="15"/>
      <c r="H43" s="15"/>
      <c r="I43" s="15"/>
      <c r="J43" s="15"/>
      <c r="M43" s="15"/>
    </row>
    <row r="44" ht="12.75" customHeight="1">
      <c r="B44" s="104" t="s">
        <v>42</v>
      </c>
      <c r="C44" s="104" t="s">
        <v>43</v>
      </c>
      <c r="D44" s="104" t="s">
        <v>44</v>
      </c>
      <c r="E44" s="104" t="s">
        <v>45</v>
      </c>
      <c r="F44" s="104" t="s">
        <v>46</v>
      </c>
      <c r="G44" s="104" t="s">
        <v>9</v>
      </c>
      <c r="H44" s="104" t="s">
        <v>47</v>
      </c>
      <c r="I44" s="105"/>
      <c r="J44" s="105"/>
    </row>
    <row r="45" ht="14.25" customHeight="1">
      <c r="A45" s="20">
        <v>1.0</v>
      </c>
      <c r="B45" s="106" t="s">
        <v>48</v>
      </c>
      <c r="C45" s="107"/>
      <c r="D45" s="107">
        <v>1000.0</v>
      </c>
      <c r="E45" s="108"/>
      <c r="F45" s="107"/>
      <c r="G45" s="109">
        <f>SUM('WE 12.10.25'!$C45:$F45)</f>
        <v>1000</v>
      </c>
      <c r="H45" s="110" t="s">
        <v>49</v>
      </c>
      <c r="I45" s="61"/>
      <c r="J45" s="111">
        <f>'WE 12.10.25'!$D45/1.135</f>
        <v>881.0572687</v>
      </c>
    </row>
    <row r="46" ht="14.25" customHeight="1">
      <c r="A46" s="20">
        <f t="shared" ref="A46:A64" si="18">A45+1</f>
        <v>2</v>
      </c>
      <c r="B46" s="106" t="s">
        <v>50</v>
      </c>
      <c r="C46" s="107"/>
      <c r="D46" s="107">
        <v>2000.0</v>
      </c>
      <c r="E46" s="108"/>
      <c r="F46" s="107"/>
      <c r="G46" s="109">
        <f>SUM('WE 12.10.25'!$C46:$F46)</f>
        <v>2000</v>
      </c>
      <c r="H46" s="110" t="s">
        <v>51</v>
      </c>
      <c r="I46" s="61"/>
      <c r="J46" s="111">
        <f>'WE 12.10.25'!$D46/1.135</f>
        <v>1762.114537</v>
      </c>
      <c r="L46" s="37"/>
      <c r="M46" s="37"/>
    </row>
    <row r="47" ht="14.25" customHeight="1">
      <c r="A47" s="20">
        <f t="shared" si="18"/>
        <v>3</v>
      </c>
      <c r="B47" s="106" t="s">
        <v>52</v>
      </c>
      <c r="C47" s="107"/>
      <c r="D47" s="107">
        <v>4932.0</v>
      </c>
      <c r="E47" s="108">
        <v>1068.0</v>
      </c>
      <c r="F47" s="107"/>
      <c r="G47" s="109">
        <f>SUM('WE 12.10.25'!$C47:$F47)</f>
        <v>6000</v>
      </c>
      <c r="H47" s="110" t="s">
        <v>53</v>
      </c>
      <c r="I47" s="61"/>
      <c r="J47" s="111">
        <f>'WE 12.10.25'!$D47/1.135</f>
        <v>4345.374449</v>
      </c>
      <c r="L47" s="37"/>
      <c r="M47" s="37"/>
    </row>
    <row r="48" ht="14.25" customHeight="1">
      <c r="A48" s="20">
        <f t="shared" si="18"/>
        <v>4</v>
      </c>
      <c r="B48" s="112" t="s">
        <v>54</v>
      </c>
      <c r="C48" s="107"/>
      <c r="D48" s="107">
        <v>268.5</v>
      </c>
      <c r="E48" s="108">
        <v>231.5</v>
      </c>
      <c r="F48" s="107"/>
      <c r="G48" s="109">
        <f>SUM(C48:F48)</f>
        <v>500</v>
      </c>
      <c r="H48" s="110" t="s">
        <v>55</v>
      </c>
      <c r="I48" s="113"/>
      <c r="J48" s="111">
        <f>'WE 12.10.25'!$D48/1.135</f>
        <v>236.5638767</v>
      </c>
    </row>
    <row r="49" ht="14.25" customHeight="1">
      <c r="A49" s="20">
        <f t="shared" si="18"/>
        <v>5</v>
      </c>
      <c r="B49" s="106" t="s">
        <v>56</v>
      </c>
      <c r="C49" s="107"/>
      <c r="D49" s="107">
        <v>2000.0</v>
      </c>
      <c r="E49" s="108"/>
      <c r="F49" s="107"/>
      <c r="G49" s="109">
        <f>SUM('WE 12.10.25'!$C49:$F49)</f>
        <v>2000</v>
      </c>
      <c r="H49" s="110" t="s">
        <v>57</v>
      </c>
      <c r="I49" s="61"/>
      <c r="J49" s="111">
        <f>'WE 12.10.25'!$D49/1.135</f>
        <v>1762.114537</v>
      </c>
    </row>
    <row r="50" ht="14.25" customHeight="1">
      <c r="A50" s="20">
        <f t="shared" si="18"/>
        <v>6</v>
      </c>
      <c r="B50" s="106" t="s">
        <v>58</v>
      </c>
      <c r="C50" s="107"/>
      <c r="D50" s="107">
        <v>2286.5</v>
      </c>
      <c r="E50" s="108">
        <v>2526.4</v>
      </c>
      <c r="F50" s="107">
        <v>437.1</v>
      </c>
      <c r="G50" s="109">
        <f>SUM('WE 12.10.25'!$C50:$F50)</f>
        <v>5250</v>
      </c>
      <c r="H50" s="110" t="s">
        <v>59</v>
      </c>
      <c r="I50" s="61"/>
      <c r="J50" s="111">
        <f>'WE 12.10.25'!$D50/1.135</f>
        <v>2014.537445</v>
      </c>
    </row>
    <row r="51" ht="14.25" customHeight="1">
      <c r="A51" s="20">
        <f t="shared" si="18"/>
        <v>7</v>
      </c>
      <c r="B51" s="112" t="s">
        <v>60</v>
      </c>
      <c r="C51" s="107"/>
      <c r="D51" s="107">
        <v>80.0</v>
      </c>
      <c r="E51" s="108"/>
      <c r="F51" s="107"/>
      <c r="G51" s="114">
        <f>SUM('WE 12.10.25'!$C51:$F51)</f>
        <v>80</v>
      </c>
      <c r="H51" s="110" t="s">
        <v>61</v>
      </c>
      <c r="I51" s="19"/>
      <c r="J51" s="111">
        <f>'WE 12.10.25'!$D51/1.135</f>
        <v>70.4845815</v>
      </c>
    </row>
    <row r="52" ht="14.25" customHeight="1">
      <c r="A52" s="20">
        <f t="shared" si="18"/>
        <v>8</v>
      </c>
      <c r="B52" s="115" t="s">
        <v>62</v>
      </c>
      <c r="C52" s="116">
        <v>430.5</v>
      </c>
      <c r="D52" s="116"/>
      <c r="E52" s="117"/>
      <c r="F52" s="116"/>
      <c r="G52" s="118">
        <f>SUM('WE 12.10.25'!$C52:$F52)</f>
        <v>430.5</v>
      </c>
      <c r="H52" s="110"/>
      <c r="I52" s="61"/>
      <c r="J52" s="111">
        <f>'WE 12.10.25'!$D52/1.135</f>
        <v>0</v>
      </c>
    </row>
    <row r="53" ht="14.25" customHeight="1">
      <c r="A53" s="20">
        <f t="shared" si="18"/>
        <v>9</v>
      </c>
      <c r="B53" s="115" t="s">
        <v>62</v>
      </c>
      <c r="C53" s="116"/>
      <c r="D53" s="116">
        <v>7220.0</v>
      </c>
      <c r="E53" s="117">
        <v>3434.0</v>
      </c>
      <c r="F53" s="116">
        <v>1331.75</v>
      </c>
      <c r="G53" s="118">
        <f t="shared" ref="G53:G64" si="19">SUM(C53:F53)</f>
        <v>11985.75</v>
      </c>
      <c r="H53" s="110"/>
      <c r="I53" s="61"/>
      <c r="J53" s="111">
        <f>'WE 12.10.25'!$D53/1.135</f>
        <v>6361.23348</v>
      </c>
    </row>
    <row r="54" ht="14.25" customHeight="1">
      <c r="A54" s="20">
        <f t="shared" si="18"/>
        <v>10</v>
      </c>
      <c r="B54" s="119" t="s">
        <v>63</v>
      </c>
      <c r="C54" s="107"/>
      <c r="D54" s="107">
        <v>588.5</v>
      </c>
      <c r="E54" s="108"/>
      <c r="F54" s="107">
        <v>73.56</v>
      </c>
      <c r="G54" s="114">
        <f t="shared" si="19"/>
        <v>662.06</v>
      </c>
      <c r="H54" s="110" t="s">
        <v>64</v>
      </c>
      <c r="I54" s="61" t="s">
        <v>65</v>
      </c>
      <c r="J54" s="111">
        <f>'WE 12.10.25'!$D54/1.135</f>
        <v>518.5022026</v>
      </c>
    </row>
    <row r="55" ht="14.25" customHeight="1">
      <c r="A55" s="20">
        <f t="shared" si="18"/>
        <v>11</v>
      </c>
      <c r="B55" s="119" t="s">
        <v>66</v>
      </c>
      <c r="C55" s="107"/>
      <c r="D55" s="107">
        <v>2875.0</v>
      </c>
      <c r="E55" s="108"/>
      <c r="F55" s="108"/>
      <c r="G55" s="109">
        <f t="shared" si="19"/>
        <v>2875</v>
      </c>
      <c r="H55" s="110" t="s">
        <v>67</v>
      </c>
      <c r="I55" s="61"/>
      <c r="J55" s="111">
        <f>'WE 12.10.25'!$D55/1.135</f>
        <v>2533.039648</v>
      </c>
    </row>
    <row r="56" ht="14.25" customHeight="1">
      <c r="A56" s="20">
        <f t="shared" si="18"/>
        <v>12</v>
      </c>
      <c r="B56" s="119" t="s">
        <v>68</v>
      </c>
      <c r="C56" s="107"/>
      <c r="D56" s="107">
        <v>399.0</v>
      </c>
      <c r="E56" s="108">
        <v>1601.0</v>
      </c>
      <c r="F56" s="108"/>
      <c r="G56" s="109">
        <f t="shared" si="19"/>
        <v>2000</v>
      </c>
      <c r="H56" s="110" t="s">
        <v>69</v>
      </c>
      <c r="I56" s="61"/>
      <c r="J56" s="111">
        <f>'WE 12.10.25'!$D56/1.135</f>
        <v>351.5418502</v>
      </c>
    </row>
    <row r="57" ht="14.25" customHeight="1">
      <c r="A57" s="20">
        <f t="shared" si="18"/>
        <v>13</v>
      </c>
      <c r="B57" s="106" t="s">
        <v>70</v>
      </c>
      <c r="C57" s="107"/>
      <c r="D57" s="107">
        <v>80.0</v>
      </c>
      <c r="E57" s="108"/>
      <c r="F57" s="107"/>
      <c r="G57" s="114">
        <f t="shared" si="19"/>
        <v>80</v>
      </c>
      <c r="H57" s="110" t="s">
        <v>71</v>
      </c>
      <c r="I57" s="61"/>
      <c r="J57" s="111">
        <f>'WE 12.10.25'!$D57/1.135</f>
        <v>70.4845815</v>
      </c>
    </row>
    <row r="58" ht="14.25" customHeight="1">
      <c r="A58" s="20">
        <f t="shared" si="18"/>
        <v>14</v>
      </c>
      <c r="B58" s="120" t="s">
        <v>72</v>
      </c>
      <c r="C58" s="107"/>
      <c r="D58" s="107">
        <v>60.0</v>
      </c>
      <c r="E58" s="108"/>
      <c r="F58" s="107"/>
      <c r="G58" s="114">
        <f t="shared" si="19"/>
        <v>60</v>
      </c>
      <c r="H58" s="110" t="s">
        <v>73</v>
      </c>
      <c r="I58" s="61"/>
      <c r="J58" s="111">
        <f>'WE 12.10.25'!$D58/1.135</f>
        <v>52.86343612</v>
      </c>
    </row>
    <row r="59" ht="14.25" customHeight="1">
      <c r="A59" s="20">
        <f t="shared" si="18"/>
        <v>15</v>
      </c>
      <c r="B59" s="120"/>
      <c r="C59" s="107"/>
      <c r="D59" s="107"/>
      <c r="E59" s="108"/>
      <c r="F59" s="108"/>
      <c r="G59" s="109">
        <f t="shared" si="19"/>
        <v>0</v>
      </c>
      <c r="H59" s="110"/>
      <c r="I59" s="121"/>
      <c r="J59" s="111">
        <f>'WE 12.10.25'!$D59/1.135</f>
        <v>0</v>
      </c>
      <c r="M59" s="27"/>
    </row>
    <row r="60" ht="14.25" customHeight="1">
      <c r="A60" s="20">
        <f t="shared" si="18"/>
        <v>16</v>
      </c>
      <c r="B60" s="112"/>
      <c r="C60" s="107"/>
      <c r="D60" s="107"/>
      <c r="E60" s="108"/>
      <c r="F60" s="122"/>
      <c r="G60" s="109">
        <f t="shared" si="19"/>
        <v>0</v>
      </c>
      <c r="H60" s="110"/>
      <c r="I60" s="61"/>
      <c r="J60" s="111">
        <f>'WE 12.10.25'!$D60/1.135</f>
        <v>0</v>
      </c>
      <c r="M60" s="27"/>
    </row>
    <row r="61" ht="14.25" customHeight="1">
      <c r="A61" s="20">
        <f t="shared" si="18"/>
        <v>17</v>
      </c>
      <c r="B61" s="120"/>
      <c r="C61" s="107"/>
      <c r="D61" s="107"/>
      <c r="E61" s="108"/>
      <c r="F61" s="122"/>
      <c r="G61" s="109">
        <f t="shared" si="19"/>
        <v>0</v>
      </c>
      <c r="H61" s="110"/>
      <c r="I61" s="121"/>
      <c r="M61" s="27"/>
    </row>
    <row r="62" ht="14.25" customHeight="1">
      <c r="A62" s="20">
        <f t="shared" si="18"/>
        <v>18</v>
      </c>
      <c r="B62" s="120"/>
      <c r="C62" s="107"/>
      <c r="D62" s="107"/>
      <c r="E62" s="108"/>
      <c r="F62" s="122"/>
      <c r="G62" s="109">
        <f t="shared" si="19"/>
        <v>0</v>
      </c>
      <c r="H62" s="110"/>
      <c r="I62" s="61"/>
      <c r="M62" s="27"/>
    </row>
    <row r="63" ht="14.25" customHeight="1">
      <c r="A63" s="20">
        <f t="shared" si="18"/>
        <v>19</v>
      </c>
      <c r="B63" s="120"/>
      <c r="C63" s="107"/>
      <c r="D63" s="107"/>
      <c r="E63" s="108"/>
      <c r="F63" s="122"/>
      <c r="G63" s="109">
        <f t="shared" si="19"/>
        <v>0</v>
      </c>
      <c r="H63" s="110"/>
      <c r="I63" s="121"/>
      <c r="M63" s="27"/>
    </row>
    <row r="64" ht="14.25" customHeight="1">
      <c r="A64" s="20">
        <f t="shared" si="18"/>
        <v>20</v>
      </c>
      <c r="B64" s="123"/>
      <c r="C64" s="107"/>
      <c r="D64" s="107"/>
      <c r="E64" s="108"/>
      <c r="F64" s="122"/>
      <c r="G64" s="109">
        <f t="shared" si="19"/>
        <v>0</v>
      </c>
      <c r="H64" s="110"/>
      <c r="I64" s="121"/>
      <c r="M64" s="27"/>
    </row>
    <row r="65" ht="14.25" customHeight="1">
      <c r="B65" s="112"/>
      <c r="C65" s="124"/>
      <c r="D65" s="124"/>
      <c r="E65" s="125"/>
      <c r="F65" s="126"/>
      <c r="G65" s="109">
        <f>SUM('WE 12.10.25'!$C65:$F65)</f>
        <v>0</v>
      </c>
      <c r="H65" s="110"/>
      <c r="I65" s="61"/>
      <c r="J65" s="127">
        <v>10.82</v>
      </c>
      <c r="K65" s="27">
        <f>100/13.5</f>
        <v>7.407407407</v>
      </c>
      <c r="L65" s="27">
        <f t="shared" ref="L65:L66" si="21">J65*K65</f>
        <v>80.14814815</v>
      </c>
      <c r="M65" s="27">
        <f>+L65+J65-M67-0.02</f>
        <v>90.94814815</v>
      </c>
      <c r="N65" s="27"/>
      <c r="O65" s="27"/>
      <c r="P65" s="27"/>
      <c r="Q65" s="27">
        <f t="shared" ref="Q65:Q67" si="22">P65+O65</f>
        <v>0</v>
      </c>
    </row>
    <row r="66" ht="14.25" customHeight="1">
      <c r="B66" s="120"/>
      <c r="C66" s="107">
        <f t="shared" ref="C66:F66" si="20">SUM(C45:C65)</f>
        <v>430.5</v>
      </c>
      <c r="D66" s="107">
        <f t="shared" si="20"/>
        <v>23789.5</v>
      </c>
      <c r="E66" s="107">
        <f t="shared" si="20"/>
        <v>8860.9</v>
      </c>
      <c r="F66" s="107">
        <f t="shared" si="20"/>
        <v>1842.41</v>
      </c>
      <c r="G66" s="128">
        <f>SUM(C66:F66)</f>
        <v>34923.31</v>
      </c>
      <c r="H66" s="122"/>
      <c r="J66" s="129">
        <v>374.19</v>
      </c>
      <c r="K66" s="27">
        <f>100/23</f>
        <v>4.347826087</v>
      </c>
      <c r="L66" s="27">
        <f t="shared" si="21"/>
        <v>1626.913043</v>
      </c>
      <c r="M66" s="130">
        <f>+L66+J66-M68</f>
        <v>2001.103043</v>
      </c>
      <c r="N66" s="27"/>
      <c r="O66" s="27"/>
      <c r="P66" s="27"/>
      <c r="Q66" s="27">
        <f t="shared" si="22"/>
        <v>0</v>
      </c>
    </row>
    <row r="67" ht="14.25" customHeight="1">
      <c r="B67" s="131"/>
      <c r="C67" s="107">
        <f>C66/1.23</f>
        <v>350</v>
      </c>
      <c r="D67" s="107">
        <f>D66/1.135</f>
        <v>20959.91189</v>
      </c>
      <c r="E67" s="108">
        <f>E66/1.23</f>
        <v>7203.98374</v>
      </c>
      <c r="F67" s="132">
        <f>F66/1.135</f>
        <v>1623.268722</v>
      </c>
      <c r="G67" s="109"/>
      <c r="H67" s="110"/>
      <c r="L67" s="20" t="s">
        <v>74</v>
      </c>
      <c r="M67" s="27"/>
      <c r="O67" s="27"/>
      <c r="P67" s="27"/>
      <c r="Q67" s="27">
        <f t="shared" si="22"/>
        <v>0</v>
      </c>
    </row>
    <row r="68" ht="14.25" customHeight="1">
      <c r="B68" s="133" t="s">
        <v>75</v>
      </c>
      <c r="C68" s="133" t="s">
        <v>76</v>
      </c>
      <c r="D68" s="133" t="s">
        <v>77</v>
      </c>
      <c r="E68" s="134" t="s">
        <v>78</v>
      </c>
      <c r="L68" s="20" t="s">
        <v>79</v>
      </c>
      <c r="M68" s="27"/>
      <c r="O68" s="27"/>
      <c r="Q68" s="27"/>
    </row>
    <row r="69" ht="14.25" customHeight="1">
      <c r="B69" s="106" t="s">
        <v>48</v>
      </c>
      <c r="C69" s="107">
        <v>1000.0</v>
      </c>
      <c r="D69" s="135"/>
      <c r="E69" s="136"/>
      <c r="K69" s="27"/>
      <c r="M69" s="27">
        <f>SUM(M65:M68)</f>
        <v>2092.051192</v>
      </c>
      <c r="O69" s="27"/>
      <c r="Q69" s="27"/>
    </row>
    <row r="70" ht="14.25" customHeight="1">
      <c r="A70" s="20" t="s">
        <v>37</v>
      </c>
      <c r="B70" s="106" t="s">
        <v>80</v>
      </c>
      <c r="C70" s="107">
        <v>2000.0</v>
      </c>
      <c r="D70" s="135"/>
      <c r="E70" s="136"/>
      <c r="K70" s="27"/>
    </row>
    <row r="71" ht="14.25" customHeight="1">
      <c r="B71" s="106" t="s">
        <v>81</v>
      </c>
      <c r="C71" s="107">
        <v>6000.0</v>
      </c>
      <c r="D71" s="135"/>
      <c r="E71" s="136"/>
      <c r="L71" s="137"/>
    </row>
    <row r="72" ht="14.25" customHeight="1">
      <c r="B72" s="112" t="s">
        <v>82</v>
      </c>
      <c r="C72" s="107">
        <v>2299.95</v>
      </c>
      <c r="D72" s="135"/>
      <c r="E72" s="136"/>
      <c r="J72" s="27"/>
      <c r="K72" s="27"/>
      <c r="L72" s="27"/>
      <c r="M72" s="137"/>
    </row>
    <row r="73" ht="14.25" customHeight="1">
      <c r="B73" s="112" t="s">
        <v>54</v>
      </c>
      <c r="C73" s="107">
        <v>500.0</v>
      </c>
      <c r="D73" s="135"/>
      <c r="E73" s="106"/>
      <c r="H73" s="27"/>
      <c r="J73" s="15"/>
    </row>
    <row r="74" ht="14.25" customHeight="1">
      <c r="B74" s="106" t="s">
        <v>56</v>
      </c>
      <c r="C74" s="107">
        <v>2000.0</v>
      </c>
      <c r="D74" s="135"/>
      <c r="E74" s="106"/>
      <c r="J74" s="27"/>
      <c r="K74" s="27"/>
      <c r="L74" s="27"/>
      <c r="M74" s="27"/>
    </row>
    <row r="75" ht="14.25" customHeight="1">
      <c r="B75" s="106" t="s">
        <v>58</v>
      </c>
      <c r="C75" s="107">
        <v>5250.0</v>
      </c>
      <c r="D75" s="107"/>
      <c r="E75" s="106"/>
      <c r="J75" s="27">
        <v>37.0</v>
      </c>
      <c r="K75" s="138"/>
      <c r="L75" s="27"/>
      <c r="M75" s="27"/>
    </row>
    <row r="76" ht="14.25" customHeight="1">
      <c r="B76" s="119" t="s">
        <v>66</v>
      </c>
      <c r="C76" s="107">
        <v>2875.0</v>
      </c>
      <c r="D76" s="135"/>
      <c r="E76" s="136" t="s">
        <v>83</v>
      </c>
      <c r="J76" s="27"/>
      <c r="K76" s="27"/>
      <c r="L76" s="27"/>
      <c r="M76" s="27"/>
    </row>
    <row r="77" ht="18.0" customHeight="1">
      <c r="B77" s="119" t="s">
        <v>68</v>
      </c>
      <c r="C77" s="107">
        <v>2000.0</v>
      </c>
      <c r="D77" s="139"/>
      <c r="E77" s="136" t="s">
        <v>83</v>
      </c>
      <c r="J77" s="20">
        <v>36.0</v>
      </c>
      <c r="K77" s="27"/>
      <c r="L77" s="27"/>
      <c r="M77" s="27"/>
    </row>
    <row r="78" ht="14.25" customHeight="1">
      <c r="B78" s="106"/>
      <c r="C78" s="140"/>
      <c r="D78" s="135"/>
      <c r="E78" s="136"/>
      <c r="K78" s="27"/>
      <c r="M78" s="27"/>
    </row>
    <row r="79" ht="14.25" hidden="1" customHeight="1">
      <c r="B79" s="106"/>
      <c r="C79" s="140"/>
      <c r="D79" s="135"/>
      <c r="E79" s="136"/>
      <c r="K79" s="27"/>
      <c r="M79" s="27"/>
    </row>
    <row r="80" ht="14.25" hidden="1" customHeight="1">
      <c r="B80" s="123"/>
      <c r="C80" s="141"/>
      <c r="D80" s="107"/>
      <c r="E80" s="106"/>
      <c r="L80" s="27"/>
      <c r="M80" s="27"/>
    </row>
    <row r="81" ht="14.25" hidden="1" customHeight="1">
      <c r="B81" s="123"/>
      <c r="C81" s="141"/>
      <c r="D81" s="107"/>
      <c r="E81" s="106"/>
      <c r="L81" s="27"/>
      <c r="M81" s="27"/>
    </row>
    <row r="82" ht="14.25" hidden="1" customHeight="1">
      <c r="B82" s="106"/>
      <c r="C82" s="141"/>
      <c r="D82" s="107"/>
      <c r="E82" s="106"/>
      <c r="L82" s="27"/>
      <c r="M82" s="27"/>
    </row>
    <row r="83" ht="14.25" hidden="1" customHeight="1">
      <c r="B83" s="106"/>
      <c r="C83" s="107"/>
      <c r="D83" s="107"/>
      <c r="E83" s="106"/>
      <c r="L83" s="27"/>
      <c r="M83" s="27"/>
    </row>
    <row r="84" ht="14.25" hidden="1" customHeight="1">
      <c r="B84" s="106"/>
      <c r="C84" s="107"/>
      <c r="D84" s="107"/>
      <c r="E84" s="119"/>
      <c r="L84" s="27"/>
      <c r="M84" s="27"/>
    </row>
    <row r="85" ht="14.25" hidden="1" customHeight="1">
      <c r="B85" s="106"/>
      <c r="C85" s="107"/>
      <c r="D85" s="107"/>
      <c r="E85" s="119"/>
      <c r="L85" s="27"/>
      <c r="M85" s="27"/>
    </row>
    <row r="86" ht="14.25" hidden="1" customHeight="1">
      <c r="B86" s="106"/>
      <c r="C86" s="107"/>
      <c r="D86" s="107"/>
      <c r="E86" s="119"/>
      <c r="L86" s="27"/>
      <c r="M86" s="27"/>
    </row>
    <row r="87" ht="14.25" hidden="1" customHeight="1">
      <c r="B87" s="106"/>
      <c r="C87" s="124"/>
      <c r="D87" s="107"/>
      <c r="E87" s="119"/>
      <c r="L87" s="27"/>
      <c r="M87" s="27"/>
    </row>
    <row r="88" ht="14.25" customHeight="1">
      <c r="B88" s="106"/>
      <c r="C88" s="142">
        <f>SUBTOTAL(109,C69:C87)</f>
        <v>23924.95</v>
      </c>
      <c r="D88" s="143"/>
      <c r="E88" s="144"/>
      <c r="M88" s="27"/>
    </row>
    <row r="89" ht="14.25" customHeight="1">
      <c r="B89" s="145"/>
      <c r="C89" s="146"/>
      <c r="D89" s="145"/>
      <c r="E89" s="145"/>
    </row>
    <row r="90" ht="14.25" customHeight="1">
      <c r="C90" s="41"/>
    </row>
    <row r="91" ht="14.25" customHeight="1">
      <c r="B91" s="120" t="s">
        <v>84</v>
      </c>
      <c r="C91" s="122" t="s">
        <v>85</v>
      </c>
      <c r="D91" s="120" t="s">
        <v>86</v>
      </c>
      <c r="E91" s="122" t="s">
        <v>87</v>
      </c>
      <c r="F91" s="122" t="s">
        <v>88</v>
      </c>
      <c r="G91" s="122" t="s">
        <v>89</v>
      </c>
      <c r="H91" s="119" t="s">
        <v>90</v>
      </c>
      <c r="I91" s="122" t="s">
        <v>91</v>
      </c>
    </row>
    <row r="92" ht="14.25" customHeight="1">
      <c r="B92" s="147" t="s">
        <v>12</v>
      </c>
      <c r="C92" s="122"/>
      <c r="D92" s="120" t="s">
        <v>86</v>
      </c>
      <c r="E92" s="122"/>
      <c r="F92" s="122"/>
      <c r="G92" s="148" t="s">
        <v>92</v>
      </c>
      <c r="H92" s="149"/>
      <c r="I92" s="150"/>
      <c r="K92" s="129"/>
    </row>
    <row r="93" ht="14.25" customHeight="1">
      <c r="B93" s="120" t="s">
        <v>13</v>
      </c>
      <c r="C93" s="128">
        <f t="shared" ref="C93:C96" si="23">J7</f>
        <v>30575.2</v>
      </c>
      <c r="D93" s="151">
        <f>E66</f>
        <v>8860.9</v>
      </c>
      <c r="E93" s="128">
        <f t="shared" ref="E93:E99" si="24">C93-D93</f>
        <v>21714.3</v>
      </c>
      <c r="F93" s="152"/>
      <c r="G93" s="153">
        <f>E93/1.23</f>
        <v>17653.90244</v>
      </c>
      <c r="H93" s="154">
        <f>'WE 12.10.25'!$E93-'WE 12.10.25'!$G93</f>
        <v>4060.397561</v>
      </c>
      <c r="I93" s="155"/>
      <c r="J93" s="27"/>
      <c r="K93" s="129"/>
    </row>
    <row r="94" ht="14.25" customHeight="1">
      <c r="B94" s="120" t="s">
        <v>14</v>
      </c>
      <c r="C94" s="128">
        <f t="shared" si="23"/>
        <v>148386.11</v>
      </c>
      <c r="D94" s="151">
        <f>D66</f>
        <v>23789.5</v>
      </c>
      <c r="E94" s="128">
        <f t="shared" si="24"/>
        <v>124596.61</v>
      </c>
      <c r="F94" s="152"/>
      <c r="G94" s="153">
        <f>(E94)/1.135</f>
        <v>109776.7489</v>
      </c>
      <c r="H94" s="154">
        <f>'WE 12.10.25'!$E94-'WE 12.10.25'!$G94</f>
        <v>14819.8611</v>
      </c>
      <c r="I94" s="155"/>
      <c r="J94" s="27"/>
      <c r="K94" s="129"/>
    </row>
    <row r="95" ht="14.25" customHeight="1">
      <c r="B95" s="120" t="s">
        <v>15</v>
      </c>
      <c r="C95" s="128">
        <f t="shared" si="23"/>
        <v>45672</v>
      </c>
      <c r="D95" s="120"/>
      <c r="E95" s="128">
        <f t="shared" si="24"/>
        <v>45672</v>
      </c>
      <c r="F95" s="152"/>
      <c r="G95" s="153">
        <f>E95/1.23</f>
        <v>37131.70732</v>
      </c>
      <c r="H95" s="154">
        <f>'WE 12.10.25'!$E95-'WE 12.10.25'!$G95</f>
        <v>8540.292683</v>
      </c>
      <c r="I95" s="150"/>
    </row>
    <row r="96" ht="14.25" customHeight="1">
      <c r="B96" s="120" t="s">
        <v>93</v>
      </c>
      <c r="C96" s="128">
        <f t="shared" si="23"/>
        <v>11309.93</v>
      </c>
      <c r="D96" s="151">
        <f>F66</f>
        <v>1842.41</v>
      </c>
      <c r="E96" s="128">
        <f t="shared" si="24"/>
        <v>9467.52</v>
      </c>
      <c r="F96" s="152" t="s">
        <v>94</v>
      </c>
      <c r="G96" s="156">
        <f>E96/1.135</f>
        <v>8341.427313</v>
      </c>
      <c r="H96" s="154">
        <f>'WE 12.10.25'!$E96-'WE 12.10.25'!$G96</f>
        <v>1126.092687</v>
      </c>
      <c r="I96" s="155" t="s">
        <v>95</v>
      </c>
      <c r="J96" s="27"/>
      <c r="K96" s="129"/>
    </row>
    <row r="97" ht="14.25" customHeight="1">
      <c r="B97" s="120" t="s">
        <v>96</v>
      </c>
      <c r="C97" s="128">
        <f>J12</f>
        <v>179.17</v>
      </c>
      <c r="D97" s="120"/>
      <c r="E97" s="128">
        <f t="shared" si="24"/>
        <v>179.17</v>
      </c>
      <c r="F97" s="152" t="s">
        <v>97</v>
      </c>
      <c r="G97" s="156">
        <f t="shared" ref="G97:G98" si="25">E97/1.23</f>
        <v>145.6666667</v>
      </c>
      <c r="H97" s="154">
        <f>'WE 12.10.25'!$E97-'WE 12.10.25'!$G97</f>
        <v>33.50333333</v>
      </c>
      <c r="I97" s="150" t="s">
        <v>98</v>
      </c>
      <c r="J97" s="27"/>
      <c r="K97" s="129"/>
    </row>
    <row r="98" ht="14.25" customHeight="1">
      <c r="B98" s="120" t="s">
        <v>99</v>
      </c>
      <c r="C98" s="128">
        <f>J11</f>
        <v>478.5</v>
      </c>
      <c r="D98" s="108">
        <f>C66</f>
        <v>430.5</v>
      </c>
      <c r="E98" s="128">
        <f t="shared" si="24"/>
        <v>48</v>
      </c>
      <c r="F98" s="152" t="s">
        <v>100</v>
      </c>
      <c r="G98" s="156">
        <f t="shared" si="25"/>
        <v>39.02439024</v>
      </c>
      <c r="H98" s="154">
        <f>'WE 12.10.25'!$E98-'WE 12.10.25'!$G98</f>
        <v>8.975609756</v>
      </c>
      <c r="I98" s="150" t="s">
        <v>98</v>
      </c>
      <c r="J98" s="27"/>
      <c r="K98" s="129"/>
    </row>
    <row r="99" ht="14.25" customHeight="1">
      <c r="B99" s="120" t="s">
        <v>9</v>
      </c>
      <c r="C99" s="157">
        <f t="shared" ref="C99:D99" si="26">SUM(C93:C98)</f>
        <v>236600.91</v>
      </c>
      <c r="D99" s="128">
        <f t="shared" si="26"/>
        <v>34923.31</v>
      </c>
      <c r="E99" s="158">
        <f t="shared" si="24"/>
        <v>201677.6</v>
      </c>
      <c r="F99" s="152"/>
      <c r="G99" s="159">
        <f>SUM(G93:G98)</f>
        <v>173088.477</v>
      </c>
      <c r="H99" s="149">
        <f>'WE 12.10.25'!$E99-'WE 12.10.25'!$G99</f>
        <v>28589.12298</v>
      </c>
      <c r="I99" s="150"/>
      <c r="L99" s="27"/>
    </row>
    <row r="100" ht="14.25" customHeight="1">
      <c r="B100" s="120"/>
      <c r="C100" s="157"/>
      <c r="D100" s="160"/>
      <c r="E100" s="157"/>
      <c r="F100" s="152"/>
      <c r="G100" s="159"/>
      <c r="H100" s="149">
        <f>'WE 12.10.25'!$E100-'WE 12.10.25'!$G100</f>
        <v>0</v>
      </c>
      <c r="I100" s="150"/>
      <c r="L100" s="27"/>
    </row>
    <row r="101" ht="14.25" customHeight="1">
      <c r="B101" s="120" t="s">
        <v>101</v>
      </c>
      <c r="C101" s="157"/>
      <c r="D101" s="160"/>
      <c r="E101" s="128">
        <f>'WE 12.10.25'!$G101*1.135</f>
        <v>23334.465</v>
      </c>
      <c r="F101" s="152" t="s">
        <v>102</v>
      </c>
      <c r="G101" s="161">
        <v>20559.0</v>
      </c>
      <c r="H101" s="149">
        <f>'WE 12.10.25'!$E101-'WE 12.10.25'!$G101</f>
        <v>2775.465</v>
      </c>
      <c r="I101" s="150" t="s">
        <v>95</v>
      </c>
      <c r="J101" s="27"/>
    </row>
    <row r="102" ht="14.25" customHeight="1">
      <c r="B102" s="120" t="s">
        <v>103</v>
      </c>
      <c r="C102" s="157"/>
      <c r="D102" s="160"/>
      <c r="E102" s="128">
        <f>G102*1.135</f>
        <v>101262.145</v>
      </c>
      <c r="F102" s="152" t="s">
        <v>104</v>
      </c>
      <c r="G102" s="161">
        <f>G94-G101</f>
        <v>89217.7489</v>
      </c>
      <c r="H102" s="149">
        <f>'WE 12.10.25'!$E102-'WE 12.10.25'!$G102</f>
        <v>12044.3961</v>
      </c>
      <c r="I102" s="150" t="s">
        <v>95</v>
      </c>
    </row>
    <row r="103" ht="14.25" customHeight="1">
      <c r="B103" s="120"/>
      <c r="C103" s="157"/>
      <c r="D103" s="160"/>
      <c r="E103" s="122"/>
      <c r="F103" s="152"/>
      <c r="G103" s="128"/>
      <c r="H103" s="149">
        <f>'WE 12.10.25'!$E103-'WE 12.10.25'!$G103</f>
        <v>0</v>
      </c>
      <c r="I103" s="150"/>
    </row>
    <row r="104" ht="14.25" customHeight="1">
      <c r="B104" s="120" t="s">
        <v>105</v>
      </c>
      <c r="C104" s="157"/>
      <c r="D104" s="160"/>
      <c r="E104" s="128">
        <f>'WE 12.10.25'!$G104*1.23</f>
        <v>10776.03</v>
      </c>
      <c r="F104" s="152" t="s">
        <v>106</v>
      </c>
      <c r="G104" s="161">
        <v>8761.0</v>
      </c>
      <c r="H104" s="149">
        <f>'WE 12.10.25'!$E104-'WE 12.10.25'!$G104</f>
        <v>2015.03</v>
      </c>
      <c r="I104" s="150" t="s">
        <v>98</v>
      </c>
      <c r="L104" s="27"/>
    </row>
    <row r="105" ht="14.25" customHeight="1">
      <c r="B105" s="120" t="s">
        <v>107</v>
      </c>
      <c r="C105" s="157"/>
      <c r="D105" s="160"/>
      <c r="E105" s="128">
        <f>G105*1.23</f>
        <v>56610.27</v>
      </c>
      <c r="F105" s="152" t="s">
        <v>108</v>
      </c>
      <c r="G105" s="161">
        <f>G93+G95-G104</f>
        <v>46024.60976</v>
      </c>
      <c r="H105" s="149">
        <f>'WE 12.10.25'!$E105-'WE 12.10.25'!$G105</f>
        <v>10585.66024</v>
      </c>
      <c r="I105" s="155" t="s">
        <v>98</v>
      </c>
      <c r="L105" s="27"/>
    </row>
    <row r="106" ht="14.25" customHeight="1">
      <c r="B106" s="37"/>
      <c r="C106" s="37"/>
      <c r="D106" s="37"/>
      <c r="E106" s="37"/>
      <c r="F106" s="37" t="s">
        <v>37</v>
      </c>
      <c r="G106" s="37"/>
      <c r="H106" s="37"/>
      <c r="I106" s="37"/>
      <c r="J106" s="37"/>
      <c r="K106" s="37"/>
      <c r="L106" s="27"/>
    </row>
    <row r="107" ht="14.25" customHeight="1">
      <c r="B107" s="37"/>
      <c r="C107" s="37" t="s">
        <v>109</v>
      </c>
      <c r="D107" s="37" t="s">
        <v>109</v>
      </c>
      <c r="E107" s="37"/>
      <c r="F107" s="37"/>
      <c r="G107" s="37"/>
      <c r="H107" s="37"/>
      <c r="I107" s="37"/>
      <c r="J107" s="37"/>
      <c r="K107" s="37"/>
      <c r="L107" s="27"/>
    </row>
    <row r="108" ht="14.25" customHeight="1">
      <c r="B108" s="131" t="s">
        <v>110</v>
      </c>
      <c r="C108" s="152" t="s">
        <v>111</v>
      </c>
      <c r="D108" s="131" t="s">
        <v>112</v>
      </c>
      <c r="E108" s="162" t="s">
        <v>113</v>
      </c>
      <c r="F108" s="152" t="s">
        <v>114</v>
      </c>
      <c r="G108" s="37"/>
      <c r="H108" s="37"/>
      <c r="I108" s="37"/>
      <c r="K108" s="129"/>
    </row>
    <row r="109" ht="17.25" customHeight="1">
      <c r="B109" s="106" t="s">
        <v>115</v>
      </c>
      <c r="C109" s="107"/>
      <c r="D109" s="107">
        <v>4.0</v>
      </c>
      <c r="E109" s="152">
        <v>5170.0</v>
      </c>
      <c r="F109" s="152"/>
      <c r="G109" s="163" t="s">
        <v>116</v>
      </c>
      <c r="H109" s="37"/>
      <c r="I109" s="37"/>
    </row>
    <row r="110" ht="17.25" customHeight="1">
      <c r="B110" s="106" t="s">
        <v>117</v>
      </c>
      <c r="C110" s="107">
        <v>50.0</v>
      </c>
      <c r="D110" s="107"/>
      <c r="E110" s="152">
        <v>5170.0</v>
      </c>
      <c r="F110" s="152"/>
      <c r="G110" s="163"/>
      <c r="H110" s="37"/>
      <c r="I110" s="37"/>
    </row>
    <row r="111" ht="17.25" customHeight="1">
      <c r="B111" s="123" t="s">
        <v>118</v>
      </c>
      <c r="C111" s="107">
        <v>37.0</v>
      </c>
      <c r="D111" s="108"/>
      <c r="E111" s="152">
        <v>5170.0</v>
      </c>
      <c r="F111" s="164"/>
      <c r="G111" s="37"/>
      <c r="H111" s="37"/>
      <c r="I111" s="20" t="s">
        <v>119</v>
      </c>
      <c r="J111" s="127">
        <v>67.0</v>
      </c>
      <c r="K111" s="27">
        <f>100/13.5</f>
        <v>7.407407407</v>
      </c>
      <c r="L111" s="27">
        <f t="shared" ref="L111:L112" si="27">J111*K111</f>
        <v>496.2962963</v>
      </c>
      <c r="M111" s="27">
        <f>+L111+J111-M113+0.01</f>
        <v>563.3062963</v>
      </c>
    </row>
    <row r="112" ht="17.25" customHeight="1">
      <c r="B112" s="120" t="s">
        <v>120</v>
      </c>
      <c r="C112" s="107">
        <v>98.0</v>
      </c>
      <c r="D112" s="108"/>
      <c r="E112" s="152">
        <v>5170.0</v>
      </c>
      <c r="F112" s="164"/>
      <c r="G112" s="37"/>
      <c r="H112" s="37"/>
      <c r="I112" s="16" t="s">
        <v>121</v>
      </c>
      <c r="J112" s="129">
        <v>0.0</v>
      </c>
      <c r="K112" s="27">
        <f>100/23</f>
        <v>4.347826087</v>
      </c>
      <c r="L112" s="27">
        <f t="shared" si="27"/>
        <v>0</v>
      </c>
      <c r="M112" s="27">
        <f>+L112+J112-M114-0.02</f>
        <v>-0.02</v>
      </c>
    </row>
    <row r="113" ht="17.25" customHeight="1">
      <c r="B113" s="123" t="s">
        <v>122</v>
      </c>
      <c r="C113" s="107">
        <v>7.0</v>
      </c>
      <c r="D113" s="108">
        <v>13.8</v>
      </c>
      <c r="E113" s="152">
        <v>5170.0</v>
      </c>
      <c r="F113" s="164"/>
      <c r="G113" s="37"/>
      <c r="H113" s="37"/>
      <c r="L113" s="20" t="s">
        <v>74</v>
      </c>
      <c r="M113" s="27">
        <v>0.0</v>
      </c>
    </row>
    <row r="114" ht="17.25" customHeight="1">
      <c r="B114" s="165" t="s">
        <v>123</v>
      </c>
      <c r="C114" s="107">
        <v>124.5</v>
      </c>
      <c r="D114" s="108"/>
      <c r="E114" s="152">
        <v>5170.0</v>
      </c>
      <c r="F114" s="164"/>
      <c r="G114" s="37"/>
      <c r="H114" s="37"/>
      <c r="L114" s="20" t="s">
        <v>79</v>
      </c>
      <c r="M114" s="27">
        <v>0.0</v>
      </c>
    </row>
    <row r="115" ht="17.25" customHeight="1">
      <c r="B115" s="120" t="s">
        <v>124</v>
      </c>
      <c r="C115" s="107"/>
      <c r="D115" s="108">
        <v>25.0</v>
      </c>
      <c r="E115" s="152">
        <v>5170.0</v>
      </c>
      <c r="F115" s="164"/>
      <c r="G115" s="37"/>
      <c r="H115" s="37"/>
      <c r="K115" s="27"/>
      <c r="M115" s="27">
        <f>SUM(M111:M114)</f>
        <v>563.2862963</v>
      </c>
    </row>
    <row r="116" ht="17.25" customHeight="1">
      <c r="B116" s="166" t="s">
        <v>125</v>
      </c>
      <c r="C116" s="107">
        <v>166.0</v>
      </c>
      <c r="D116" s="108">
        <v>37.9</v>
      </c>
      <c r="E116" s="152">
        <v>5170.0</v>
      </c>
      <c r="F116" s="164"/>
      <c r="G116" s="37"/>
      <c r="H116" s="16"/>
      <c r="J116" s="129"/>
    </row>
    <row r="117" ht="17.25" customHeight="1">
      <c r="B117" s="167" t="s">
        <v>126</v>
      </c>
      <c r="C117" s="107">
        <v>125.0</v>
      </c>
      <c r="D117" s="108">
        <v>11.0</v>
      </c>
      <c r="E117" s="152">
        <v>5170.0</v>
      </c>
      <c r="F117" s="164"/>
      <c r="G117" s="37"/>
      <c r="H117" s="37"/>
      <c r="I117" s="127">
        <v>1.28</v>
      </c>
      <c r="J117" s="27">
        <f>100/13.5</f>
        <v>7.407407407</v>
      </c>
      <c r="K117" s="27">
        <f t="shared" ref="K117:K118" si="28">I117*J117</f>
        <v>9.481481481</v>
      </c>
      <c r="L117" s="27">
        <f t="shared" ref="L117:L118" si="29">+K117+I117-L119</f>
        <v>10.76148148</v>
      </c>
    </row>
    <row r="118" ht="17.25" customHeight="1">
      <c r="B118" s="120" t="s">
        <v>127</v>
      </c>
      <c r="C118" s="107">
        <v>30.0</v>
      </c>
      <c r="D118" s="108"/>
      <c r="E118" s="152">
        <v>5170.0</v>
      </c>
      <c r="F118" s="164"/>
      <c r="G118" s="37"/>
      <c r="H118" s="37"/>
      <c r="I118" s="129">
        <v>1.5</v>
      </c>
      <c r="J118" s="27">
        <f>100/23</f>
        <v>4.347826087</v>
      </c>
      <c r="K118" s="27">
        <f t="shared" si="28"/>
        <v>6.52173913</v>
      </c>
      <c r="L118" s="27">
        <f t="shared" si="29"/>
        <v>8.02173913</v>
      </c>
    </row>
    <row r="119" ht="17.25" customHeight="1">
      <c r="B119" s="120" t="s">
        <v>128</v>
      </c>
      <c r="C119" s="107"/>
      <c r="D119" s="108">
        <v>108.0</v>
      </c>
      <c r="E119" s="152">
        <v>5170.0</v>
      </c>
      <c r="F119" s="164"/>
      <c r="G119" s="37"/>
      <c r="H119" s="37"/>
      <c r="K119" s="20" t="s">
        <v>74</v>
      </c>
      <c r="L119" s="27"/>
    </row>
    <row r="120" ht="17.25" customHeight="1">
      <c r="B120" s="120" t="s">
        <v>129</v>
      </c>
      <c r="C120" s="107">
        <v>10.0</v>
      </c>
      <c r="D120" s="108"/>
      <c r="E120" s="152">
        <v>5170.0</v>
      </c>
      <c r="F120" s="164"/>
      <c r="G120" s="37"/>
      <c r="H120" s="37"/>
      <c r="K120" s="20" t="s">
        <v>79</v>
      </c>
      <c r="L120" s="27">
        <v>0.0</v>
      </c>
    </row>
    <row r="121" ht="17.25" customHeight="1">
      <c r="B121" s="168" t="s">
        <v>130</v>
      </c>
      <c r="C121" s="107">
        <v>94.5</v>
      </c>
      <c r="D121" s="108"/>
      <c r="E121" s="152">
        <v>5170.0</v>
      </c>
      <c r="F121" s="164"/>
      <c r="G121" s="37"/>
      <c r="H121" s="37"/>
      <c r="J121" s="27"/>
      <c r="L121" s="27">
        <f>SUM(L117:L120)</f>
        <v>18.78322061</v>
      </c>
    </row>
    <row r="122" ht="17.25" customHeight="1">
      <c r="B122" s="120" t="s">
        <v>131</v>
      </c>
      <c r="C122" s="107">
        <v>7.5</v>
      </c>
      <c r="D122" s="108">
        <v>11.0</v>
      </c>
      <c r="E122" s="152">
        <v>5170.0</v>
      </c>
      <c r="F122" s="164"/>
      <c r="G122" s="37"/>
      <c r="H122" s="37"/>
      <c r="J122" s="27"/>
    </row>
    <row r="123" ht="17.25" customHeight="1">
      <c r="B123" s="120" t="s">
        <v>132</v>
      </c>
      <c r="C123" s="107">
        <v>16.5</v>
      </c>
      <c r="D123" s="108"/>
      <c r="E123" s="152">
        <v>5170.0</v>
      </c>
      <c r="F123" s="164"/>
      <c r="G123" s="37"/>
      <c r="H123" s="37"/>
      <c r="J123" s="27"/>
    </row>
    <row r="124" ht="17.25" customHeight="1">
      <c r="B124" s="120" t="s">
        <v>133</v>
      </c>
      <c r="C124" s="149"/>
      <c r="D124" s="107">
        <v>23.4</v>
      </c>
      <c r="E124" s="152">
        <v>5170.0</v>
      </c>
      <c r="F124" s="164"/>
      <c r="G124" s="37"/>
      <c r="H124" s="37"/>
      <c r="J124" s="129"/>
    </row>
    <row r="125" ht="17.25" customHeight="1">
      <c r="B125" s="120" t="s">
        <v>134</v>
      </c>
      <c r="C125" s="107">
        <v>7.0</v>
      </c>
      <c r="D125" s="108">
        <v>13.8</v>
      </c>
      <c r="E125" s="152">
        <v>5170.0</v>
      </c>
      <c r="F125" s="164"/>
      <c r="G125" s="37"/>
      <c r="H125" s="37"/>
      <c r="J125" s="129"/>
    </row>
    <row r="126" ht="17.25" customHeight="1">
      <c r="B126" s="120" t="s">
        <v>135</v>
      </c>
      <c r="C126" s="107"/>
      <c r="D126" s="108">
        <v>28.0</v>
      </c>
      <c r="E126" s="152">
        <v>5170.0</v>
      </c>
      <c r="F126" s="164"/>
      <c r="G126" s="37"/>
      <c r="H126" s="37"/>
      <c r="J126" s="129"/>
    </row>
    <row r="127" ht="17.25" customHeight="1">
      <c r="B127" s="120" t="s">
        <v>136</v>
      </c>
      <c r="C127" s="107"/>
      <c r="D127" s="108">
        <v>18.0</v>
      </c>
      <c r="E127" s="152">
        <v>5170.0</v>
      </c>
      <c r="F127" s="164"/>
      <c r="G127" s="37"/>
      <c r="H127" s="37"/>
      <c r="J127" s="129"/>
    </row>
    <row r="128" ht="17.25" customHeight="1">
      <c r="B128" s="120" t="s">
        <v>137</v>
      </c>
      <c r="C128" s="107"/>
      <c r="D128" s="108">
        <v>15.4</v>
      </c>
      <c r="E128" s="152">
        <v>5170.0</v>
      </c>
      <c r="F128" s="164"/>
      <c r="G128" s="37"/>
      <c r="H128" s="37"/>
      <c r="J128" s="129"/>
    </row>
    <row r="129" ht="17.25" customHeight="1">
      <c r="B129" s="120" t="s">
        <v>138</v>
      </c>
      <c r="C129" s="107">
        <v>25.0</v>
      </c>
      <c r="D129" s="108"/>
      <c r="E129" s="152">
        <v>5170.0</v>
      </c>
      <c r="F129" s="164"/>
      <c r="G129" s="37"/>
      <c r="H129" s="37"/>
      <c r="J129" s="129"/>
    </row>
    <row r="130" ht="17.25" customHeight="1">
      <c r="B130" s="120" t="s">
        <v>139</v>
      </c>
      <c r="C130" s="107">
        <v>10.8</v>
      </c>
      <c r="D130" s="108">
        <v>8.0</v>
      </c>
      <c r="E130" s="152">
        <v>5170.0</v>
      </c>
      <c r="F130" s="164"/>
      <c r="G130" s="37"/>
      <c r="H130" s="37"/>
      <c r="J130" s="129"/>
    </row>
    <row r="131" ht="14.25" customHeight="1">
      <c r="B131" s="168" t="s">
        <v>140</v>
      </c>
      <c r="C131" s="107">
        <v>22.5</v>
      </c>
      <c r="D131" s="108"/>
      <c r="E131" s="152">
        <v>5170.0</v>
      </c>
      <c r="F131" s="164"/>
      <c r="G131" s="37"/>
      <c r="H131" s="37"/>
      <c r="J131" s="129"/>
    </row>
    <row r="132" ht="14.25" customHeight="1">
      <c r="B132" s="120"/>
      <c r="C132" s="107"/>
      <c r="D132" s="108"/>
      <c r="E132" s="152">
        <v>5170.0</v>
      </c>
      <c r="F132" s="164"/>
      <c r="G132" s="37"/>
      <c r="H132" s="37"/>
      <c r="J132" s="129"/>
    </row>
    <row r="133" ht="14.25" customHeight="1">
      <c r="B133" s="120"/>
      <c r="C133" s="107"/>
      <c r="D133" s="108"/>
      <c r="E133" s="152">
        <v>5170.0</v>
      </c>
      <c r="F133" s="164"/>
      <c r="G133" s="37"/>
      <c r="H133" s="37"/>
      <c r="J133" s="129"/>
    </row>
    <row r="134" ht="14.25" customHeight="1">
      <c r="B134" s="120"/>
      <c r="C134" s="107"/>
      <c r="D134" s="108"/>
      <c r="E134" s="152">
        <v>5170.0</v>
      </c>
      <c r="F134" s="164"/>
      <c r="G134" s="37"/>
      <c r="H134" s="37"/>
      <c r="J134" s="129"/>
    </row>
    <row r="135" ht="14.25" customHeight="1">
      <c r="B135" s="168"/>
      <c r="C135" s="107"/>
      <c r="D135" s="108"/>
      <c r="E135" s="152">
        <v>5170.0</v>
      </c>
      <c r="F135" s="164"/>
      <c r="G135" s="37"/>
      <c r="H135" s="37"/>
      <c r="J135" s="129"/>
    </row>
    <row r="136" ht="14.25" customHeight="1">
      <c r="B136" s="169" t="s">
        <v>9</v>
      </c>
      <c r="C136" s="170">
        <f t="shared" ref="C136:D136" si="30">SUM(C109:C135)</f>
        <v>831.3</v>
      </c>
      <c r="D136" s="170">
        <f t="shared" si="30"/>
        <v>317.3</v>
      </c>
      <c r="E136" s="171">
        <f>SUM(C136:D136)</f>
        <v>1148.6</v>
      </c>
      <c r="F136" s="172"/>
    </row>
    <row r="137" ht="14.25" customHeight="1">
      <c r="B137" s="120"/>
      <c r="C137" s="107">
        <f>C136/1.135</f>
        <v>732.4229075</v>
      </c>
      <c r="D137" s="108">
        <f>D136/1.23</f>
        <v>257.9674797</v>
      </c>
      <c r="E137" s="107">
        <f>'WE 12.10.25'!$C137+'WE 12.10.25'!$D137</f>
        <v>990.3903872</v>
      </c>
      <c r="F137" s="122"/>
    </row>
    <row r="138" ht="14.25" customHeight="1">
      <c r="B138" s="106"/>
      <c r="C138" s="173" t="s">
        <v>109</v>
      </c>
      <c r="D138" s="174" t="s">
        <v>109</v>
      </c>
      <c r="E138" s="152"/>
      <c r="F138" s="106"/>
    </row>
    <row r="139" ht="14.25" customHeight="1">
      <c r="C139" s="175"/>
      <c r="D139" s="176"/>
      <c r="E139" s="19"/>
    </row>
    <row r="140" ht="14.25" customHeight="1">
      <c r="C140" s="175"/>
      <c r="D140" s="176" t="s">
        <v>95</v>
      </c>
      <c r="E140" s="177" t="s">
        <v>98</v>
      </c>
    </row>
    <row r="141" ht="14.25" customHeight="1">
      <c r="C141" s="175"/>
      <c r="D141" s="176" t="s">
        <v>141</v>
      </c>
      <c r="E141" s="16" t="s">
        <v>142</v>
      </c>
    </row>
    <row r="142" ht="14.25" customHeight="1">
      <c r="B142" s="178" t="s">
        <v>143</v>
      </c>
      <c r="C142" s="152" t="s">
        <v>9</v>
      </c>
      <c r="D142" s="152" t="s">
        <v>144</v>
      </c>
      <c r="E142" s="152" t="s">
        <v>145</v>
      </c>
    </row>
    <row r="143" ht="14.25" customHeight="1">
      <c r="B143" s="179" t="s">
        <v>146</v>
      </c>
      <c r="C143" s="180">
        <v>28.4</v>
      </c>
      <c r="D143" s="181">
        <f t="shared" ref="D143:D152" si="31">C143*75%</f>
        <v>21.3</v>
      </c>
      <c r="E143" s="181">
        <f t="shared" ref="E143:E152" si="32">C143*25%</f>
        <v>7.1</v>
      </c>
    </row>
    <row r="144" ht="14.25" customHeight="1">
      <c r="B144" s="120" t="s">
        <v>147</v>
      </c>
      <c r="C144" s="107">
        <v>62.6</v>
      </c>
      <c r="D144" s="181">
        <f t="shared" si="31"/>
        <v>46.95</v>
      </c>
      <c r="E144" s="181">
        <f t="shared" si="32"/>
        <v>15.65</v>
      </c>
    </row>
    <row r="145" ht="14.25" customHeight="1">
      <c r="B145" s="120" t="s">
        <v>148</v>
      </c>
      <c r="C145" s="107">
        <v>61.52</v>
      </c>
      <c r="D145" s="181">
        <f t="shared" si="31"/>
        <v>46.14</v>
      </c>
      <c r="E145" s="181">
        <f t="shared" si="32"/>
        <v>15.38</v>
      </c>
    </row>
    <row r="146" ht="14.25" customHeight="1">
      <c r="B146" s="120"/>
      <c r="C146" s="107"/>
      <c r="D146" s="181">
        <f t="shared" si="31"/>
        <v>0</v>
      </c>
      <c r="E146" s="181">
        <f t="shared" si="32"/>
        <v>0</v>
      </c>
    </row>
    <row r="147" ht="14.25" customHeight="1">
      <c r="B147" s="120"/>
      <c r="C147" s="180"/>
      <c r="D147" s="181">
        <f t="shared" si="31"/>
        <v>0</v>
      </c>
      <c r="E147" s="181">
        <f t="shared" si="32"/>
        <v>0</v>
      </c>
    </row>
    <row r="148" ht="14.25" customHeight="1">
      <c r="B148" s="120"/>
      <c r="C148" s="180"/>
      <c r="D148" s="181">
        <f t="shared" si="31"/>
        <v>0</v>
      </c>
      <c r="E148" s="181">
        <f t="shared" si="32"/>
        <v>0</v>
      </c>
    </row>
    <row r="149" ht="14.25" customHeight="1">
      <c r="B149" s="120"/>
      <c r="C149" s="180"/>
      <c r="D149" s="181">
        <f t="shared" si="31"/>
        <v>0</v>
      </c>
      <c r="E149" s="181">
        <f t="shared" si="32"/>
        <v>0</v>
      </c>
    </row>
    <row r="150" ht="14.25" customHeight="1">
      <c r="B150" s="179"/>
      <c r="C150" s="180"/>
      <c r="D150" s="181">
        <f t="shared" si="31"/>
        <v>0</v>
      </c>
      <c r="E150" s="181">
        <f t="shared" si="32"/>
        <v>0</v>
      </c>
    </row>
    <row r="151" ht="14.25" customHeight="1">
      <c r="B151" s="179"/>
      <c r="C151" s="180"/>
      <c r="D151" s="181">
        <f t="shared" si="31"/>
        <v>0</v>
      </c>
      <c r="E151" s="181">
        <f t="shared" si="32"/>
        <v>0</v>
      </c>
    </row>
    <row r="152" ht="14.25" customHeight="1">
      <c r="B152" s="179"/>
      <c r="C152" s="180"/>
      <c r="D152" s="181">
        <f t="shared" si="31"/>
        <v>0</v>
      </c>
      <c r="E152" s="181">
        <f t="shared" si="32"/>
        <v>0</v>
      </c>
    </row>
    <row r="153" ht="14.25" customHeight="1">
      <c r="B153" s="120"/>
      <c r="C153" s="180"/>
      <c r="D153" s="181"/>
      <c r="E153" s="181"/>
    </row>
    <row r="154" ht="14.25" customHeight="1">
      <c r="B154" s="179"/>
      <c r="C154" s="180">
        <f>SUM(C143:C152)</f>
        <v>152.52</v>
      </c>
      <c r="D154" s="182">
        <f>(D143+D144+D145+D147+D146+D148+D149+D150+D151+D152)/1.135</f>
        <v>100.784141</v>
      </c>
      <c r="E154" s="182">
        <f>(E143+E144+E145+E147+E146+E148+E149+E150+E151+E152)/1.23</f>
        <v>31</v>
      </c>
    </row>
    <row r="155" ht="14.25" customHeight="1">
      <c r="B155" s="120"/>
      <c r="C155" s="107">
        <f>SUM(C143:C152)</f>
        <v>152.52</v>
      </c>
      <c r="D155" s="183">
        <f>D154*1.135</f>
        <v>114.39</v>
      </c>
      <c r="E155" s="184">
        <f>E154*1.23</f>
        <v>38.13</v>
      </c>
    </row>
    <row r="156" ht="14.25" customHeight="1">
      <c r="B156" s="179"/>
      <c r="C156" s="180"/>
      <c r="D156" s="181">
        <f t="shared" ref="D156:E156" si="33">D155-D154</f>
        <v>13.60585903</v>
      </c>
      <c r="E156" s="181">
        <f t="shared" si="33"/>
        <v>7.13</v>
      </c>
    </row>
    <row r="157" ht="14.25" customHeight="1">
      <c r="B157" s="185"/>
      <c r="C157" s="186"/>
      <c r="D157" s="187" t="s">
        <v>95</v>
      </c>
      <c r="E157" s="187" t="s">
        <v>98</v>
      </c>
    </row>
    <row r="158" ht="14.25" customHeight="1">
      <c r="D158" s="20" t="s">
        <v>149</v>
      </c>
      <c r="E158" s="20" t="s">
        <v>150</v>
      </c>
    </row>
    <row r="159" ht="14.25" customHeight="1">
      <c r="B159" s="178" t="s">
        <v>151</v>
      </c>
      <c r="C159" s="188" t="s">
        <v>152</v>
      </c>
      <c r="D159" s="189" t="s">
        <v>144</v>
      </c>
      <c r="E159" s="190" t="s">
        <v>153</v>
      </c>
    </row>
    <row r="160" ht="14.25" customHeight="1">
      <c r="B160" s="179" t="s">
        <v>154</v>
      </c>
      <c r="C160" s="107">
        <v>150.0</v>
      </c>
      <c r="D160" s="151">
        <f t="shared" ref="D160:D165" si="34">C160*75%</f>
        <v>112.5</v>
      </c>
      <c r="E160" s="132">
        <f t="shared" ref="E160:E165" si="35">C160*25%</f>
        <v>37.5</v>
      </c>
    </row>
    <row r="161" ht="14.25" customHeight="1">
      <c r="B161" s="120"/>
      <c r="C161" s="180"/>
      <c r="D161" s="151">
        <f t="shared" si="34"/>
        <v>0</v>
      </c>
      <c r="E161" s="132">
        <f t="shared" si="35"/>
        <v>0</v>
      </c>
    </row>
    <row r="162" ht="14.25" customHeight="1">
      <c r="B162" s="120"/>
      <c r="C162" s="128"/>
      <c r="D162" s="151">
        <f t="shared" si="34"/>
        <v>0</v>
      </c>
      <c r="E162" s="132">
        <f t="shared" si="35"/>
        <v>0</v>
      </c>
    </row>
    <row r="163" ht="14.25" customHeight="1">
      <c r="B163" s="120"/>
      <c r="C163" s="128"/>
      <c r="D163" s="151">
        <f t="shared" si="34"/>
        <v>0</v>
      </c>
      <c r="E163" s="132">
        <f t="shared" si="35"/>
        <v>0</v>
      </c>
    </row>
    <row r="164" ht="14.25" customHeight="1">
      <c r="B164" s="120"/>
      <c r="C164" s="128"/>
      <c r="D164" s="151">
        <f t="shared" si="34"/>
        <v>0</v>
      </c>
      <c r="E164" s="132">
        <f t="shared" si="35"/>
        <v>0</v>
      </c>
    </row>
    <row r="165" ht="14.25" customHeight="1">
      <c r="B165" s="120"/>
      <c r="C165" s="128"/>
      <c r="D165" s="151">
        <f t="shared" si="34"/>
        <v>0</v>
      </c>
      <c r="E165" s="132">
        <f t="shared" si="35"/>
        <v>0</v>
      </c>
    </row>
    <row r="166" ht="14.25" customHeight="1">
      <c r="B166" s="191"/>
      <c r="C166" s="192"/>
      <c r="D166" s="193">
        <f>(+D161+D160+D162+D163+D165+D164)/1.135</f>
        <v>99.11894273</v>
      </c>
      <c r="E166" s="193">
        <f>(+E161+E160+E162+E163+E165+E164)/1.23</f>
        <v>30.48780488</v>
      </c>
      <c r="F166" s="194">
        <f>SUM(D166:E166)</f>
        <v>129.6067476</v>
      </c>
      <c r="G166" s="37"/>
    </row>
    <row r="167" ht="14.25" customHeight="1">
      <c r="C167" s="195">
        <f>SUM(C160:C166)</f>
        <v>150</v>
      </c>
      <c r="D167" s="196">
        <f>D166*1.135</f>
        <v>112.5</v>
      </c>
      <c r="E167" s="197">
        <f>E166*1.23</f>
        <v>37.5</v>
      </c>
    </row>
    <row r="168" ht="14.25" customHeight="1">
      <c r="C168" s="20" t="s">
        <v>155</v>
      </c>
      <c r="D168" s="27">
        <f t="shared" ref="D168:E168" si="36">D167-D166</f>
        <v>13.38105727</v>
      </c>
      <c r="E168" s="129">
        <f t="shared" si="36"/>
        <v>7.012195122</v>
      </c>
    </row>
    <row r="169" ht="14.25" customHeight="1"/>
    <row r="170" ht="14.25" customHeight="1">
      <c r="B170" s="37" t="s">
        <v>37</v>
      </c>
    </row>
    <row r="171" ht="14.25" customHeight="1">
      <c r="B171" s="37"/>
      <c r="C171" s="41"/>
      <c r="D171" s="41"/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>
      <c r="B177" s="23"/>
    </row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>
      <c r="B193" s="16"/>
      <c r="C193" s="198"/>
      <c r="D193" s="36"/>
      <c r="E193" s="16"/>
      <c r="F193" s="198"/>
      <c r="G193" s="16"/>
      <c r="H193" s="16"/>
      <c r="I193" s="16"/>
      <c r="J193" s="16"/>
      <c r="K193" s="16"/>
    </row>
    <row r="194" ht="14.25" customHeight="1">
      <c r="B194" s="16"/>
      <c r="C194" s="198"/>
      <c r="D194" s="36"/>
      <c r="E194" s="16"/>
      <c r="F194" s="198"/>
      <c r="G194" s="16"/>
      <c r="H194" s="16"/>
      <c r="I194" s="16"/>
      <c r="J194" s="16"/>
      <c r="K194" s="16"/>
    </row>
    <row r="195" ht="14.25" customHeight="1">
      <c r="B195" s="16"/>
      <c r="C195" s="198"/>
      <c r="D195" s="36"/>
      <c r="E195" s="16"/>
      <c r="F195" s="198"/>
      <c r="G195" s="16"/>
      <c r="H195" s="16"/>
      <c r="I195" s="16"/>
      <c r="J195" s="16"/>
      <c r="K195" s="16"/>
    </row>
    <row r="196" ht="14.25" customHeight="1">
      <c r="B196" s="16"/>
      <c r="C196" s="198"/>
      <c r="D196" s="36"/>
      <c r="E196" s="16"/>
      <c r="F196" s="198"/>
      <c r="G196" s="16"/>
      <c r="H196" s="16"/>
      <c r="I196" s="16"/>
      <c r="J196" s="16"/>
      <c r="K196" s="16"/>
    </row>
    <row r="197" ht="14.25" customHeight="1">
      <c r="B197" s="16"/>
      <c r="C197" s="198"/>
      <c r="D197" s="36"/>
      <c r="E197" s="16"/>
      <c r="F197" s="198"/>
      <c r="G197" s="16"/>
      <c r="H197" s="16"/>
      <c r="I197" s="16"/>
      <c r="J197" s="16"/>
      <c r="K197" s="16"/>
    </row>
    <row r="198" ht="14.25" customHeight="1">
      <c r="B198" s="16"/>
      <c r="C198" s="198"/>
      <c r="D198" s="36"/>
      <c r="E198" s="16"/>
      <c r="F198" s="198"/>
      <c r="G198" s="16"/>
      <c r="H198" s="16"/>
      <c r="I198" s="16"/>
      <c r="J198" s="16"/>
      <c r="K198" s="16"/>
    </row>
    <row r="199" ht="14.25" customHeight="1">
      <c r="B199" s="16"/>
      <c r="C199" s="198"/>
      <c r="D199" s="36"/>
      <c r="E199" s="16"/>
      <c r="F199" s="198"/>
      <c r="G199" s="16"/>
      <c r="H199" s="16"/>
      <c r="I199" s="16"/>
      <c r="J199" s="16"/>
      <c r="K199" s="16"/>
    </row>
    <row r="200" ht="14.25" customHeight="1">
      <c r="B200" s="16"/>
      <c r="C200" s="198"/>
      <c r="D200" s="36"/>
      <c r="E200" s="16"/>
      <c r="F200" s="198"/>
      <c r="G200" s="16"/>
      <c r="H200" s="16"/>
      <c r="I200" s="16"/>
      <c r="J200" s="16"/>
      <c r="K200" s="16"/>
    </row>
    <row r="201" ht="14.25" customHeight="1">
      <c r="B201" s="16"/>
      <c r="C201" s="198"/>
      <c r="D201" s="36"/>
      <c r="E201" s="16"/>
      <c r="F201" s="198"/>
      <c r="G201" s="16"/>
      <c r="H201" s="16"/>
      <c r="I201" s="16"/>
      <c r="J201" s="16"/>
      <c r="K201" s="16"/>
    </row>
    <row r="202" ht="14.25" customHeight="1">
      <c r="B202" s="16"/>
      <c r="C202" s="198"/>
      <c r="D202" s="36"/>
      <c r="E202" s="16"/>
      <c r="F202" s="198"/>
      <c r="G202" s="16"/>
      <c r="H202" s="16"/>
      <c r="I202" s="16"/>
      <c r="J202" s="16"/>
      <c r="K202" s="16"/>
    </row>
    <row r="203" ht="14.25" customHeight="1">
      <c r="B203" s="16"/>
      <c r="C203" s="198"/>
      <c r="D203" s="36"/>
      <c r="E203" s="16"/>
      <c r="F203" s="198"/>
      <c r="G203" s="16"/>
      <c r="H203" s="16"/>
      <c r="I203" s="16"/>
      <c r="J203" s="16"/>
      <c r="K203" s="16"/>
    </row>
    <row r="204" ht="14.25" customHeight="1">
      <c r="B204" s="16"/>
      <c r="C204" s="198"/>
      <c r="D204" s="36"/>
      <c r="E204" s="16"/>
      <c r="F204" s="198"/>
      <c r="G204" s="16"/>
      <c r="H204" s="16"/>
      <c r="I204" s="16"/>
      <c r="J204" s="16"/>
      <c r="K204" s="16"/>
    </row>
    <row r="205" ht="14.25" customHeight="1">
      <c r="B205" s="16"/>
      <c r="C205" s="198"/>
      <c r="D205" s="36"/>
      <c r="E205" s="16"/>
      <c r="F205" s="198"/>
      <c r="G205" s="16"/>
      <c r="H205" s="16"/>
      <c r="I205" s="16"/>
      <c r="J205" s="16"/>
      <c r="K205" s="16"/>
    </row>
    <row r="206" ht="14.25" customHeight="1">
      <c r="B206" s="16"/>
      <c r="C206" s="198"/>
      <c r="D206" s="36"/>
      <c r="E206" s="16"/>
      <c r="F206" s="198"/>
      <c r="G206" s="16"/>
      <c r="H206" s="16"/>
      <c r="I206" s="16"/>
      <c r="J206" s="16"/>
      <c r="K206" s="16"/>
    </row>
    <row r="207" ht="14.25" customHeight="1">
      <c r="B207" s="16"/>
      <c r="C207" s="198"/>
      <c r="D207" s="36"/>
      <c r="E207" s="16"/>
      <c r="F207" s="198"/>
      <c r="G207" s="16"/>
      <c r="H207" s="16"/>
      <c r="I207" s="16"/>
      <c r="J207" s="16"/>
      <c r="K207" s="16"/>
    </row>
    <row r="208" ht="14.25" customHeight="1">
      <c r="B208" s="16"/>
      <c r="C208" s="198"/>
      <c r="D208" s="36"/>
      <c r="E208" s="16"/>
      <c r="F208" s="198"/>
      <c r="G208" s="16"/>
      <c r="H208" s="16"/>
      <c r="I208" s="16"/>
      <c r="J208" s="16"/>
      <c r="K208" s="16"/>
    </row>
    <row r="209" ht="14.25" customHeight="1">
      <c r="B209" s="16"/>
      <c r="C209" s="198"/>
      <c r="D209" s="36"/>
      <c r="E209" s="16"/>
      <c r="F209" s="198"/>
      <c r="G209" s="16"/>
      <c r="H209" s="16"/>
      <c r="I209" s="16"/>
      <c r="J209" s="16"/>
      <c r="K209" s="16"/>
    </row>
    <row r="210" ht="14.25" customHeight="1">
      <c r="B210" s="16"/>
      <c r="C210" s="198"/>
      <c r="D210" s="36"/>
      <c r="E210" s="16"/>
      <c r="F210" s="198"/>
      <c r="G210" s="16"/>
      <c r="H210" s="16"/>
      <c r="I210" s="16"/>
      <c r="J210" s="16"/>
      <c r="K210" s="16"/>
    </row>
    <row r="211" ht="14.25" customHeight="1">
      <c r="B211" s="16"/>
      <c r="C211" s="198"/>
      <c r="D211" s="36"/>
      <c r="E211" s="16"/>
      <c r="F211" s="198"/>
      <c r="G211" s="16"/>
      <c r="H211" s="16"/>
      <c r="I211" s="16"/>
      <c r="J211" s="16"/>
      <c r="K211" s="16"/>
    </row>
    <row r="212" ht="14.25" customHeight="1">
      <c r="B212" s="16"/>
      <c r="C212" s="198"/>
      <c r="D212" s="36"/>
      <c r="E212" s="16"/>
      <c r="F212" s="198"/>
      <c r="G212" s="16"/>
      <c r="H212" s="16"/>
      <c r="I212" s="16"/>
      <c r="J212" s="16"/>
      <c r="K212" s="16"/>
    </row>
    <row r="213" ht="14.25" customHeight="1">
      <c r="B213" s="16"/>
      <c r="C213" s="198"/>
      <c r="D213" s="36"/>
      <c r="E213" s="16"/>
      <c r="F213" s="198"/>
      <c r="G213" s="16"/>
      <c r="H213" s="16"/>
      <c r="I213" s="16"/>
      <c r="J213" s="16"/>
      <c r="K213" s="16"/>
    </row>
    <row r="214" ht="14.25" customHeight="1">
      <c r="B214" s="16"/>
      <c r="C214" s="198"/>
      <c r="D214" s="36"/>
      <c r="E214" s="16"/>
      <c r="F214" s="198"/>
      <c r="G214" s="16"/>
      <c r="H214" s="16"/>
      <c r="I214" s="16"/>
      <c r="J214" s="16"/>
      <c r="K214" s="16"/>
    </row>
    <row r="215" ht="14.25" customHeight="1">
      <c r="B215" s="16"/>
      <c r="C215" s="198"/>
      <c r="D215" s="36"/>
      <c r="E215" s="16"/>
      <c r="F215" s="198"/>
      <c r="G215" s="16"/>
      <c r="H215" s="16"/>
      <c r="I215" s="16"/>
      <c r="J215" s="16"/>
      <c r="K215" s="16"/>
    </row>
    <row r="216" ht="14.25" customHeight="1">
      <c r="B216" s="16"/>
      <c r="C216" s="198"/>
      <c r="D216" s="36"/>
      <c r="E216" s="16"/>
      <c r="F216" s="198"/>
      <c r="G216" s="16"/>
      <c r="H216" s="16"/>
      <c r="I216" s="16"/>
      <c r="J216" s="16"/>
      <c r="K216" s="16"/>
    </row>
    <row r="217" ht="14.25" customHeight="1">
      <c r="B217" s="16"/>
      <c r="C217" s="198"/>
      <c r="D217" s="36"/>
      <c r="E217" s="16"/>
      <c r="F217" s="198"/>
      <c r="G217" s="16"/>
      <c r="H217" s="16"/>
      <c r="I217" s="16"/>
      <c r="J217" s="16"/>
      <c r="K217" s="16"/>
    </row>
    <row r="218" ht="14.25" customHeight="1">
      <c r="B218" s="16"/>
      <c r="C218" s="198"/>
      <c r="D218" s="36"/>
      <c r="E218" s="16"/>
      <c r="F218" s="198"/>
      <c r="G218" s="16"/>
      <c r="H218" s="16"/>
      <c r="I218" s="16"/>
      <c r="J218" s="16"/>
      <c r="K218" s="16"/>
    </row>
    <row r="219" ht="14.25" customHeight="1">
      <c r="B219" s="16"/>
      <c r="C219" s="198"/>
      <c r="D219" s="36"/>
      <c r="E219" s="16"/>
      <c r="F219" s="198"/>
      <c r="G219" s="16"/>
      <c r="H219" s="16"/>
      <c r="I219" s="16"/>
      <c r="J219" s="16"/>
      <c r="K219" s="16"/>
    </row>
    <row r="220" ht="14.25" customHeight="1">
      <c r="B220" s="16"/>
      <c r="C220" s="198"/>
      <c r="D220" s="36"/>
      <c r="E220" s="16"/>
      <c r="F220" s="198"/>
      <c r="G220" s="16"/>
      <c r="H220" s="16"/>
      <c r="I220" s="16"/>
      <c r="J220" s="16"/>
      <c r="K220" s="16"/>
    </row>
    <row r="221" ht="14.25" customHeight="1">
      <c r="B221" s="16"/>
      <c r="C221" s="198"/>
      <c r="D221" s="36"/>
      <c r="E221" s="16"/>
      <c r="F221" s="198"/>
      <c r="G221" s="16"/>
      <c r="H221" s="16"/>
      <c r="I221" s="16"/>
      <c r="J221" s="16"/>
      <c r="K221" s="16"/>
    </row>
    <row r="222" ht="14.25" customHeight="1">
      <c r="B222" s="16"/>
      <c r="C222" s="198"/>
      <c r="D222" s="36"/>
      <c r="E222" s="16"/>
      <c r="F222" s="198"/>
      <c r="G222" s="16"/>
      <c r="H222" s="16"/>
      <c r="I222" s="16"/>
      <c r="J222" s="16"/>
      <c r="K222" s="16"/>
    </row>
    <row r="223" ht="14.25" customHeight="1">
      <c r="B223" s="16"/>
      <c r="C223" s="198"/>
      <c r="D223" s="36"/>
      <c r="E223" s="16"/>
      <c r="F223" s="198"/>
      <c r="G223" s="16"/>
      <c r="H223" s="16"/>
      <c r="I223" s="16"/>
      <c r="J223" s="16"/>
      <c r="K223" s="16"/>
    </row>
    <row r="224" ht="14.25" customHeight="1">
      <c r="B224" s="16"/>
      <c r="C224" s="198"/>
      <c r="D224" s="36"/>
      <c r="E224" s="16"/>
      <c r="F224" s="198"/>
      <c r="G224" s="16"/>
      <c r="H224" s="16"/>
      <c r="I224" s="16"/>
      <c r="J224" s="16"/>
      <c r="K224" s="16"/>
    </row>
    <row r="225" ht="14.25" customHeight="1">
      <c r="B225" s="16"/>
      <c r="C225" s="198"/>
      <c r="D225" s="36"/>
      <c r="E225" s="16"/>
      <c r="F225" s="198"/>
      <c r="G225" s="16"/>
      <c r="H225" s="16"/>
      <c r="I225" s="16"/>
      <c r="J225" s="16"/>
      <c r="K225" s="16"/>
    </row>
    <row r="226" ht="14.25" customHeight="1">
      <c r="B226" s="16"/>
      <c r="C226" s="198"/>
      <c r="D226" s="36"/>
      <c r="E226" s="16"/>
      <c r="F226" s="198"/>
      <c r="G226" s="16"/>
      <c r="H226" s="16"/>
      <c r="I226" s="16"/>
      <c r="J226" s="16"/>
      <c r="K226" s="16"/>
    </row>
    <row r="227" ht="14.25" customHeight="1">
      <c r="B227" s="16"/>
      <c r="C227" s="198"/>
      <c r="D227" s="36"/>
      <c r="E227" s="16"/>
      <c r="F227" s="198"/>
      <c r="G227" s="16"/>
      <c r="H227" s="16"/>
      <c r="I227" s="16"/>
      <c r="J227" s="16"/>
      <c r="K227" s="16"/>
    </row>
    <row r="228" ht="14.25" customHeight="1">
      <c r="B228" s="16"/>
      <c r="C228" s="198"/>
      <c r="D228" s="36"/>
      <c r="E228" s="16"/>
      <c r="F228" s="198"/>
      <c r="G228" s="16"/>
      <c r="H228" s="16"/>
      <c r="I228" s="16"/>
      <c r="J228" s="16"/>
      <c r="K228" s="16"/>
    </row>
    <row r="229" ht="14.25" customHeight="1">
      <c r="B229" s="16"/>
      <c r="C229" s="198"/>
      <c r="D229" s="36"/>
      <c r="E229" s="16"/>
      <c r="F229" s="198"/>
      <c r="G229" s="16"/>
      <c r="H229" s="16"/>
      <c r="I229" s="16"/>
      <c r="J229" s="16"/>
      <c r="K229" s="16"/>
    </row>
    <row r="230" ht="14.25" customHeight="1">
      <c r="B230" s="16"/>
      <c r="C230" s="198"/>
      <c r="D230" s="36"/>
      <c r="E230" s="16"/>
      <c r="F230" s="198"/>
      <c r="G230" s="16"/>
      <c r="H230" s="16"/>
      <c r="I230" s="16"/>
      <c r="J230" s="16"/>
      <c r="K230" s="16"/>
    </row>
    <row r="231" ht="14.25" customHeight="1">
      <c r="B231" s="16"/>
      <c r="C231" s="198"/>
      <c r="D231" s="36"/>
      <c r="E231" s="16"/>
      <c r="F231" s="198"/>
      <c r="G231" s="16"/>
      <c r="H231" s="16"/>
      <c r="I231" s="16"/>
      <c r="J231" s="16"/>
      <c r="K231" s="16"/>
    </row>
    <row r="232" ht="14.25" customHeight="1">
      <c r="B232" s="16"/>
      <c r="C232" s="198"/>
      <c r="D232" s="36"/>
      <c r="E232" s="16"/>
      <c r="F232" s="198"/>
      <c r="G232" s="16"/>
      <c r="H232" s="16"/>
      <c r="I232" s="16"/>
      <c r="J232" s="16"/>
      <c r="K232" s="16"/>
    </row>
    <row r="233" ht="14.25" customHeight="1">
      <c r="B233" s="16"/>
      <c r="C233" s="198"/>
      <c r="D233" s="36"/>
      <c r="E233" s="16"/>
      <c r="F233" s="198"/>
      <c r="G233" s="16"/>
      <c r="H233" s="16"/>
      <c r="I233" s="16"/>
      <c r="J233" s="16"/>
      <c r="K233" s="16"/>
    </row>
    <row r="234" ht="14.25" customHeight="1">
      <c r="B234" s="16"/>
      <c r="C234" s="198"/>
      <c r="D234" s="36"/>
      <c r="E234" s="16"/>
      <c r="F234" s="198"/>
      <c r="G234" s="16"/>
      <c r="H234" s="16"/>
      <c r="I234" s="16"/>
      <c r="J234" s="16"/>
      <c r="K234" s="16"/>
    </row>
    <row r="235" ht="14.25" customHeight="1">
      <c r="B235" s="16"/>
      <c r="C235" s="198"/>
      <c r="D235" s="36"/>
      <c r="E235" s="16"/>
      <c r="F235" s="198"/>
      <c r="G235" s="16"/>
      <c r="H235" s="16"/>
      <c r="I235" s="16"/>
      <c r="J235" s="16"/>
      <c r="K235" s="16"/>
    </row>
    <row r="236" ht="14.25" customHeight="1">
      <c r="B236" s="16"/>
      <c r="C236" s="198"/>
      <c r="D236" s="36"/>
      <c r="E236" s="16"/>
      <c r="F236" s="198"/>
      <c r="G236" s="16"/>
      <c r="H236" s="16"/>
      <c r="I236" s="16"/>
      <c r="J236" s="16"/>
      <c r="K236" s="16"/>
    </row>
    <row r="237" ht="14.25" customHeight="1">
      <c r="B237" s="16"/>
      <c r="C237" s="198"/>
      <c r="D237" s="36"/>
      <c r="E237" s="16"/>
      <c r="F237" s="198"/>
      <c r="G237" s="16"/>
      <c r="H237" s="16"/>
      <c r="I237" s="16"/>
      <c r="J237" s="16"/>
      <c r="K237" s="16"/>
    </row>
    <row r="238" ht="14.25" customHeight="1">
      <c r="B238" s="16"/>
      <c r="C238" s="198"/>
      <c r="D238" s="36"/>
      <c r="E238" s="16"/>
      <c r="F238" s="198"/>
      <c r="G238" s="16"/>
      <c r="H238" s="16"/>
      <c r="I238" s="16"/>
      <c r="J238" s="16"/>
      <c r="K238" s="16"/>
    </row>
    <row r="239" ht="14.25" customHeight="1">
      <c r="B239" s="16"/>
      <c r="C239" s="198"/>
      <c r="D239" s="36"/>
      <c r="E239" s="16"/>
      <c r="F239" s="198"/>
      <c r="G239" s="16"/>
      <c r="H239" s="16"/>
      <c r="I239" s="16"/>
      <c r="J239" s="16"/>
      <c r="K239" s="16"/>
    </row>
    <row r="240" ht="14.25" customHeight="1">
      <c r="B240" s="16"/>
      <c r="C240" s="198"/>
      <c r="D240" s="36"/>
      <c r="E240" s="16"/>
      <c r="F240" s="198"/>
      <c r="G240" s="16"/>
      <c r="H240" s="16"/>
      <c r="I240" s="16"/>
      <c r="J240" s="16"/>
      <c r="K240" s="16"/>
    </row>
    <row r="241" ht="14.25" customHeight="1">
      <c r="B241" s="16"/>
      <c r="C241" s="198"/>
      <c r="D241" s="36"/>
      <c r="E241" s="16"/>
      <c r="F241" s="198"/>
      <c r="G241" s="16"/>
      <c r="H241" s="16"/>
      <c r="I241" s="16"/>
      <c r="J241" s="16"/>
      <c r="K241" s="16"/>
    </row>
    <row r="242" ht="14.25" customHeight="1">
      <c r="B242" s="16"/>
      <c r="C242" s="198"/>
      <c r="D242" s="36"/>
      <c r="E242" s="16"/>
      <c r="F242" s="198"/>
      <c r="G242" s="16"/>
      <c r="H242" s="16"/>
      <c r="I242" s="16"/>
      <c r="J242" s="16"/>
      <c r="K242" s="16"/>
    </row>
    <row r="243" ht="14.25" customHeight="1">
      <c r="B243" s="16"/>
      <c r="C243" s="198"/>
      <c r="D243" s="36"/>
      <c r="E243" s="16"/>
      <c r="F243" s="198"/>
      <c r="G243" s="16"/>
      <c r="H243" s="16"/>
      <c r="I243" s="16"/>
      <c r="J243" s="16"/>
      <c r="K243" s="16"/>
    </row>
    <row r="244" ht="14.25" customHeight="1">
      <c r="B244" s="16"/>
      <c r="C244" s="198"/>
      <c r="D244" s="36"/>
      <c r="E244" s="16"/>
      <c r="F244" s="198"/>
      <c r="G244" s="16"/>
      <c r="H244" s="16"/>
      <c r="I244" s="16"/>
      <c r="J244" s="16"/>
      <c r="K244" s="16"/>
    </row>
    <row r="245" ht="14.25" customHeight="1">
      <c r="B245" s="16"/>
      <c r="C245" s="198"/>
      <c r="D245" s="36"/>
      <c r="E245" s="16"/>
      <c r="F245" s="198"/>
      <c r="G245" s="16"/>
      <c r="H245" s="16"/>
      <c r="I245" s="16"/>
      <c r="J245" s="16"/>
      <c r="K245" s="16"/>
    </row>
    <row r="246" ht="14.25" customHeight="1">
      <c r="B246" s="16"/>
      <c r="C246" s="198"/>
      <c r="D246" s="36"/>
      <c r="E246" s="16"/>
      <c r="F246" s="198"/>
      <c r="G246" s="16"/>
      <c r="H246" s="16"/>
      <c r="I246" s="16"/>
      <c r="J246" s="16"/>
      <c r="K246" s="16"/>
    </row>
    <row r="247" ht="14.25" customHeight="1">
      <c r="B247" s="16"/>
      <c r="C247" s="198"/>
      <c r="D247" s="36"/>
      <c r="E247" s="16"/>
      <c r="F247" s="198"/>
      <c r="G247" s="16"/>
      <c r="H247" s="16"/>
      <c r="I247" s="16"/>
      <c r="J247" s="16"/>
      <c r="K247" s="16"/>
    </row>
    <row r="248" ht="14.25" customHeight="1">
      <c r="B248" s="16"/>
      <c r="C248" s="198"/>
      <c r="D248" s="36"/>
      <c r="E248" s="16"/>
      <c r="F248" s="198"/>
      <c r="G248" s="16"/>
      <c r="H248" s="16"/>
      <c r="I248" s="16"/>
      <c r="J248" s="16"/>
      <c r="K248" s="16"/>
    </row>
    <row r="249" ht="14.25" customHeight="1">
      <c r="B249" s="16"/>
      <c r="C249" s="198"/>
      <c r="D249" s="36"/>
      <c r="E249" s="16"/>
      <c r="F249" s="198"/>
      <c r="G249" s="16"/>
      <c r="H249" s="16"/>
      <c r="I249" s="16"/>
      <c r="J249" s="16"/>
      <c r="K249" s="16"/>
    </row>
    <row r="250" ht="14.25" customHeight="1">
      <c r="B250" s="16"/>
      <c r="C250" s="198"/>
      <c r="D250" s="36"/>
      <c r="E250" s="16"/>
      <c r="F250" s="198"/>
      <c r="G250" s="16"/>
      <c r="H250" s="16"/>
      <c r="I250" s="16"/>
      <c r="J250" s="16"/>
      <c r="K250" s="16"/>
    </row>
    <row r="251" ht="14.25" customHeight="1">
      <c r="B251" s="16"/>
      <c r="C251" s="198"/>
      <c r="D251" s="36"/>
      <c r="E251" s="16"/>
      <c r="F251" s="198"/>
      <c r="G251" s="16"/>
      <c r="H251" s="16"/>
      <c r="I251" s="16"/>
      <c r="J251" s="16"/>
      <c r="K251" s="16"/>
    </row>
    <row r="252" ht="14.25" customHeight="1">
      <c r="B252" s="16"/>
      <c r="C252" s="198"/>
      <c r="D252" s="36"/>
      <c r="E252" s="16"/>
      <c r="F252" s="198"/>
      <c r="G252" s="16"/>
      <c r="H252" s="16"/>
      <c r="I252" s="16"/>
      <c r="J252" s="16"/>
      <c r="K252" s="16"/>
    </row>
    <row r="253" ht="14.25" customHeight="1">
      <c r="B253" s="16"/>
      <c r="C253" s="198"/>
      <c r="D253" s="36"/>
      <c r="E253" s="16"/>
      <c r="F253" s="198"/>
      <c r="G253" s="16"/>
      <c r="H253" s="16"/>
      <c r="I253" s="16"/>
      <c r="J253" s="16"/>
      <c r="K253" s="16"/>
    </row>
    <row r="254" ht="14.25" customHeight="1">
      <c r="B254" s="16"/>
      <c r="C254" s="198"/>
      <c r="D254" s="36"/>
      <c r="E254" s="16"/>
      <c r="F254" s="198"/>
      <c r="G254" s="16"/>
      <c r="H254" s="16"/>
      <c r="I254" s="16"/>
      <c r="J254" s="16"/>
      <c r="K254" s="16"/>
    </row>
    <row r="255" ht="14.25" customHeight="1">
      <c r="B255" s="16"/>
      <c r="C255" s="198"/>
      <c r="D255" s="36"/>
      <c r="E255" s="16"/>
      <c r="F255" s="198"/>
      <c r="G255" s="16"/>
      <c r="H255" s="16"/>
      <c r="I255" s="16"/>
      <c r="J255" s="16"/>
      <c r="K255" s="16"/>
    </row>
    <row r="256" ht="14.25" customHeight="1">
      <c r="B256" s="16"/>
      <c r="C256" s="198"/>
      <c r="D256" s="36"/>
      <c r="E256" s="16"/>
      <c r="F256" s="198"/>
      <c r="G256" s="16"/>
      <c r="H256" s="16"/>
      <c r="I256" s="16"/>
      <c r="J256" s="16"/>
      <c r="K256" s="16"/>
    </row>
    <row r="257" ht="14.25" customHeight="1">
      <c r="B257" s="16"/>
      <c r="C257" s="198"/>
      <c r="D257" s="36"/>
      <c r="E257" s="16"/>
      <c r="F257" s="198"/>
      <c r="G257" s="16"/>
      <c r="H257" s="16"/>
      <c r="I257" s="16"/>
      <c r="J257" s="16"/>
      <c r="K257" s="16"/>
    </row>
    <row r="258" ht="14.25" customHeight="1">
      <c r="B258" s="16"/>
      <c r="C258" s="198"/>
      <c r="D258" s="36"/>
      <c r="E258" s="16"/>
      <c r="F258" s="198"/>
      <c r="G258" s="16"/>
      <c r="H258" s="16"/>
      <c r="I258" s="16"/>
      <c r="J258" s="16"/>
      <c r="K258" s="16"/>
    </row>
    <row r="259" ht="14.25" customHeight="1">
      <c r="B259" s="16"/>
      <c r="C259" s="198"/>
      <c r="D259" s="36"/>
      <c r="E259" s="16"/>
      <c r="F259" s="198"/>
      <c r="G259" s="16"/>
      <c r="H259" s="16"/>
      <c r="I259" s="16"/>
      <c r="J259" s="16"/>
      <c r="K259" s="16"/>
    </row>
    <row r="260" ht="14.25" customHeight="1">
      <c r="B260" s="16"/>
      <c r="C260" s="198"/>
      <c r="D260" s="36"/>
      <c r="E260" s="16"/>
      <c r="F260" s="198"/>
      <c r="G260" s="16"/>
      <c r="H260" s="16"/>
      <c r="I260" s="16"/>
      <c r="J260" s="16"/>
      <c r="K260" s="16"/>
    </row>
    <row r="261" ht="14.25" customHeight="1">
      <c r="B261" s="16"/>
      <c r="C261" s="198"/>
      <c r="D261" s="36"/>
      <c r="E261" s="16"/>
      <c r="F261" s="198"/>
      <c r="G261" s="16"/>
      <c r="H261" s="16"/>
      <c r="I261" s="16"/>
      <c r="J261" s="16"/>
      <c r="K261" s="16"/>
    </row>
    <row r="262" ht="14.25" customHeight="1">
      <c r="B262" s="16"/>
      <c r="C262" s="198"/>
      <c r="D262" s="36"/>
      <c r="E262" s="16"/>
      <c r="F262" s="198"/>
      <c r="G262" s="16"/>
      <c r="H262" s="16"/>
      <c r="I262" s="16"/>
      <c r="J262" s="16"/>
      <c r="K262" s="16"/>
    </row>
    <row r="263" ht="14.25" customHeight="1">
      <c r="B263" s="16"/>
      <c r="C263" s="198"/>
      <c r="D263" s="36"/>
      <c r="E263" s="16"/>
      <c r="F263" s="198"/>
      <c r="G263" s="16"/>
      <c r="H263" s="16"/>
      <c r="I263" s="16"/>
      <c r="J263" s="16"/>
      <c r="K263" s="16"/>
    </row>
    <row r="264" ht="14.25" customHeight="1">
      <c r="B264" s="16"/>
      <c r="C264" s="198"/>
      <c r="D264" s="36"/>
      <c r="E264" s="16"/>
      <c r="F264" s="198"/>
      <c r="G264" s="16"/>
      <c r="H264" s="16"/>
      <c r="I264" s="16"/>
      <c r="J264" s="16"/>
      <c r="K264" s="16"/>
    </row>
    <row r="265" ht="14.25" customHeight="1">
      <c r="B265" s="16"/>
      <c r="C265" s="198"/>
      <c r="D265" s="36"/>
      <c r="E265" s="16"/>
      <c r="F265" s="198"/>
      <c r="G265" s="16"/>
      <c r="H265" s="16"/>
      <c r="I265" s="16"/>
      <c r="J265" s="16"/>
      <c r="K265" s="16"/>
    </row>
    <row r="266" ht="14.25" customHeight="1">
      <c r="B266" s="16"/>
      <c r="C266" s="198"/>
      <c r="D266" s="36"/>
      <c r="E266" s="16"/>
      <c r="F266" s="198"/>
      <c r="G266" s="16"/>
      <c r="H266" s="16"/>
      <c r="I266" s="16"/>
      <c r="J266" s="16"/>
      <c r="K266" s="16"/>
    </row>
    <row r="267" ht="14.25" customHeight="1">
      <c r="B267" s="16"/>
      <c r="C267" s="198"/>
      <c r="D267" s="36"/>
      <c r="E267" s="16"/>
      <c r="F267" s="198"/>
      <c r="G267" s="16"/>
      <c r="H267" s="16"/>
      <c r="I267" s="16"/>
      <c r="J267" s="16"/>
      <c r="K267" s="16"/>
    </row>
    <row r="268" ht="14.25" customHeight="1">
      <c r="B268" s="16"/>
      <c r="C268" s="198"/>
      <c r="D268" s="36"/>
      <c r="E268" s="16"/>
      <c r="F268" s="198"/>
      <c r="G268" s="16"/>
      <c r="H268" s="16"/>
      <c r="I268" s="16"/>
      <c r="J268" s="16"/>
      <c r="K268" s="16"/>
    </row>
    <row r="269" ht="14.25" customHeight="1">
      <c r="B269" s="16"/>
      <c r="C269" s="198"/>
      <c r="D269" s="36"/>
      <c r="E269" s="16"/>
      <c r="F269" s="198"/>
      <c r="G269" s="16"/>
      <c r="H269" s="16"/>
      <c r="I269" s="16"/>
      <c r="J269" s="16"/>
      <c r="K269" s="16"/>
    </row>
    <row r="270" ht="14.25" customHeight="1">
      <c r="B270" s="16"/>
      <c r="C270" s="198"/>
      <c r="D270" s="36"/>
      <c r="E270" s="16"/>
      <c r="F270" s="198"/>
      <c r="G270" s="16"/>
      <c r="H270" s="16"/>
      <c r="I270" s="16"/>
      <c r="J270" s="16"/>
      <c r="K270" s="16"/>
    </row>
    <row r="271" ht="14.25" customHeight="1">
      <c r="B271" s="16"/>
      <c r="C271" s="198"/>
      <c r="D271" s="36"/>
      <c r="E271" s="16"/>
      <c r="F271" s="198"/>
      <c r="G271" s="16"/>
      <c r="H271" s="16"/>
      <c r="I271" s="16"/>
      <c r="J271" s="16"/>
      <c r="K271" s="16"/>
    </row>
    <row r="272" ht="14.25" customHeight="1">
      <c r="B272" s="16"/>
      <c r="C272" s="198"/>
      <c r="D272" s="36"/>
      <c r="E272" s="16"/>
      <c r="F272" s="198"/>
      <c r="G272" s="16"/>
      <c r="H272" s="16"/>
      <c r="I272" s="16"/>
      <c r="J272" s="16"/>
      <c r="K272" s="16"/>
    </row>
    <row r="273" ht="14.25" customHeight="1">
      <c r="B273" s="16"/>
      <c r="C273" s="198"/>
      <c r="D273" s="36"/>
      <c r="E273" s="16"/>
      <c r="F273" s="198"/>
      <c r="G273" s="16"/>
      <c r="H273" s="16"/>
      <c r="I273" s="16"/>
      <c r="J273" s="16"/>
      <c r="K273" s="16"/>
    </row>
    <row r="274" ht="14.25" customHeight="1">
      <c r="B274" s="16"/>
      <c r="C274" s="198"/>
      <c r="D274" s="36"/>
      <c r="E274" s="16"/>
      <c r="F274" s="198"/>
      <c r="G274" s="16"/>
      <c r="H274" s="16"/>
      <c r="I274" s="16"/>
      <c r="J274" s="16"/>
      <c r="K274" s="16"/>
    </row>
    <row r="275" ht="14.25" customHeight="1">
      <c r="B275" s="16"/>
      <c r="C275" s="198"/>
      <c r="D275" s="36"/>
      <c r="E275" s="16"/>
      <c r="F275" s="198"/>
      <c r="G275" s="16"/>
      <c r="H275" s="16"/>
      <c r="I275" s="16"/>
      <c r="J275" s="16"/>
      <c r="K275" s="16"/>
    </row>
    <row r="276" ht="14.25" customHeight="1">
      <c r="B276" s="16"/>
      <c r="C276" s="198"/>
      <c r="D276" s="36"/>
      <c r="E276" s="16"/>
      <c r="F276" s="198"/>
      <c r="G276" s="16"/>
      <c r="H276" s="16"/>
      <c r="I276" s="16"/>
      <c r="J276" s="16"/>
      <c r="K276" s="16"/>
    </row>
    <row r="277" ht="14.25" customHeight="1">
      <c r="B277" s="16"/>
      <c r="C277" s="198"/>
      <c r="D277" s="36"/>
      <c r="E277" s="16"/>
      <c r="F277" s="198"/>
      <c r="G277" s="16"/>
      <c r="H277" s="16"/>
      <c r="I277" s="16"/>
      <c r="J277" s="16"/>
      <c r="K277" s="16"/>
    </row>
    <row r="278" ht="14.25" customHeight="1">
      <c r="B278" s="16"/>
      <c r="C278" s="198"/>
      <c r="D278" s="36"/>
      <c r="E278" s="16"/>
      <c r="F278" s="198"/>
      <c r="G278" s="16"/>
      <c r="H278" s="16"/>
      <c r="I278" s="16"/>
      <c r="J278" s="16"/>
      <c r="K278" s="16"/>
    </row>
    <row r="279" ht="14.25" customHeight="1">
      <c r="B279" s="16"/>
      <c r="C279" s="198"/>
      <c r="D279" s="36"/>
      <c r="E279" s="16"/>
      <c r="F279" s="198"/>
      <c r="G279" s="16"/>
      <c r="H279" s="16"/>
      <c r="I279" s="16"/>
      <c r="J279" s="16"/>
      <c r="K279" s="16"/>
    </row>
    <row r="280" ht="14.25" customHeight="1">
      <c r="B280" s="16"/>
      <c r="C280" s="198"/>
      <c r="D280" s="36"/>
      <c r="E280" s="16"/>
      <c r="F280" s="198"/>
      <c r="G280" s="16"/>
      <c r="H280" s="16"/>
      <c r="I280" s="16"/>
      <c r="J280" s="16"/>
      <c r="K280" s="16"/>
    </row>
    <row r="281" ht="14.25" customHeight="1">
      <c r="B281" s="16"/>
      <c r="C281" s="198"/>
      <c r="D281" s="36"/>
      <c r="E281" s="16"/>
      <c r="F281" s="198"/>
      <c r="G281" s="16"/>
      <c r="H281" s="16"/>
      <c r="I281" s="16"/>
      <c r="J281" s="16"/>
      <c r="K281" s="16"/>
    </row>
    <row r="282" ht="14.25" customHeight="1">
      <c r="B282" s="16"/>
      <c r="C282" s="198"/>
      <c r="D282" s="36"/>
      <c r="E282" s="16"/>
      <c r="F282" s="198"/>
      <c r="G282" s="16"/>
      <c r="H282" s="16"/>
      <c r="I282" s="16"/>
      <c r="J282" s="16"/>
      <c r="K282" s="16"/>
    </row>
    <row r="283" ht="14.25" customHeight="1">
      <c r="B283" s="16"/>
      <c r="C283" s="198"/>
      <c r="D283" s="36"/>
      <c r="E283" s="16"/>
      <c r="F283" s="198"/>
      <c r="G283" s="16"/>
      <c r="H283" s="16"/>
      <c r="I283" s="16"/>
      <c r="J283" s="16"/>
      <c r="K283" s="16"/>
    </row>
    <row r="284" ht="14.25" customHeight="1">
      <c r="B284" s="16"/>
      <c r="C284" s="198"/>
      <c r="D284" s="36"/>
      <c r="E284" s="16"/>
      <c r="F284" s="198"/>
      <c r="G284" s="16"/>
      <c r="H284" s="16"/>
      <c r="I284" s="16"/>
      <c r="J284" s="16"/>
      <c r="K284" s="16"/>
    </row>
    <row r="285" ht="14.25" customHeight="1">
      <c r="B285" s="16"/>
      <c r="C285" s="198"/>
      <c r="D285" s="36"/>
      <c r="E285" s="16"/>
      <c r="F285" s="198"/>
      <c r="G285" s="16"/>
      <c r="H285" s="16"/>
      <c r="I285" s="16"/>
      <c r="J285" s="16"/>
      <c r="K285" s="16"/>
    </row>
    <row r="286" ht="14.25" customHeight="1">
      <c r="B286" s="16"/>
      <c r="C286" s="198"/>
      <c r="D286" s="36"/>
      <c r="E286" s="16"/>
      <c r="F286" s="198"/>
      <c r="G286" s="16"/>
      <c r="H286" s="16"/>
      <c r="I286" s="16"/>
      <c r="J286" s="16"/>
      <c r="K286" s="16"/>
    </row>
    <row r="287" ht="14.25" customHeight="1">
      <c r="B287" s="16"/>
      <c r="C287" s="198"/>
      <c r="D287" s="36"/>
      <c r="E287" s="16"/>
      <c r="F287" s="198"/>
      <c r="G287" s="16"/>
      <c r="H287" s="16"/>
      <c r="I287" s="16"/>
      <c r="J287" s="16"/>
      <c r="K287" s="16"/>
    </row>
    <row r="288" ht="14.25" customHeight="1">
      <c r="B288" s="16"/>
      <c r="C288" s="198"/>
      <c r="D288" s="36"/>
      <c r="E288" s="16"/>
      <c r="F288" s="198"/>
      <c r="G288" s="16"/>
      <c r="H288" s="16"/>
      <c r="I288" s="16"/>
      <c r="J288" s="16"/>
      <c r="K288" s="16"/>
    </row>
    <row r="289" ht="14.25" customHeight="1">
      <c r="B289" s="16"/>
      <c r="C289" s="198"/>
      <c r="D289" s="36"/>
      <c r="E289" s="16"/>
      <c r="F289" s="198"/>
      <c r="G289" s="16"/>
      <c r="H289" s="16"/>
      <c r="I289" s="16"/>
      <c r="J289" s="16"/>
      <c r="K289" s="16"/>
    </row>
    <row r="290" ht="14.25" customHeight="1">
      <c r="B290" s="16"/>
      <c r="C290" s="198"/>
      <c r="D290" s="36"/>
      <c r="E290" s="16"/>
      <c r="F290" s="198"/>
      <c r="G290" s="16"/>
      <c r="H290" s="16"/>
      <c r="I290" s="16"/>
      <c r="J290" s="16"/>
      <c r="K290" s="16"/>
    </row>
    <row r="291" ht="14.25" customHeight="1">
      <c r="B291" s="16"/>
      <c r="C291" s="198"/>
      <c r="D291" s="36"/>
      <c r="E291" s="16"/>
      <c r="F291" s="198"/>
      <c r="G291" s="16"/>
      <c r="H291" s="16"/>
      <c r="I291" s="16"/>
      <c r="J291" s="16"/>
      <c r="K291" s="16"/>
    </row>
    <row r="292" ht="14.25" customHeight="1">
      <c r="B292" s="16"/>
      <c r="C292" s="198"/>
      <c r="D292" s="36"/>
      <c r="E292" s="16"/>
      <c r="F292" s="198"/>
      <c r="G292" s="16"/>
      <c r="H292" s="16"/>
      <c r="I292" s="16"/>
      <c r="J292" s="16"/>
      <c r="K292" s="16"/>
    </row>
    <row r="293" ht="14.25" customHeight="1">
      <c r="B293" s="16"/>
      <c r="C293" s="198"/>
      <c r="D293" s="36"/>
      <c r="E293" s="16"/>
      <c r="F293" s="198"/>
      <c r="G293" s="16"/>
      <c r="H293" s="16"/>
      <c r="I293" s="16"/>
      <c r="J293" s="16"/>
      <c r="K293" s="16"/>
    </row>
    <row r="294" ht="14.25" customHeight="1">
      <c r="B294" s="16"/>
      <c r="C294" s="198"/>
      <c r="D294" s="36"/>
      <c r="E294" s="16"/>
      <c r="F294" s="198"/>
      <c r="G294" s="16"/>
      <c r="H294" s="16"/>
      <c r="I294" s="16"/>
      <c r="J294" s="16"/>
      <c r="K294" s="16"/>
    </row>
    <row r="295" ht="14.25" customHeight="1">
      <c r="B295" s="16"/>
      <c r="C295" s="198"/>
      <c r="D295" s="36"/>
      <c r="E295" s="16"/>
      <c r="F295" s="198"/>
      <c r="G295" s="16"/>
      <c r="H295" s="16"/>
      <c r="I295" s="16"/>
      <c r="J295" s="16"/>
      <c r="K295" s="16"/>
    </row>
    <row r="296" ht="14.25" customHeight="1">
      <c r="B296" s="16"/>
      <c r="C296" s="198"/>
      <c r="D296" s="36"/>
      <c r="E296" s="16"/>
      <c r="F296" s="198"/>
      <c r="G296" s="16"/>
      <c r="H296" s="16"/>
      <c r="I296" s="16"/>
      <c r="J296" s="16"/>
      <c r="K296" s="16"/>
    </row>
    <row r="297" ht="14.25" customHeight="1">
      <c r="B297" s="16"/>
      <c r="C297" s="198"/>
      <c r="D297" s="36"/>
      <c r="E297" s="16"/>
      <c r="F297" s="198"/>
      <c r="G297" s="16"/>
      <c r="H297" s="16"/>
      <c r="I297" s="16"/>
      <c r="J297" s="16"/>
      <c r="K297" s="16"/>
    </row>
    <row r="298" ht="14.25" customHeight="1">
      <c r="B298" s="16"/>
      <c r="C298" s="198"/>
      <c r="D298" s="36"/>
      <c r="E298" s="16"/>
      <c r="F298" s="198"/>
      <c r="G298" s="16"/>
      <c r="H298" s="16"/>
      <c r="I298" s="16"/>
      <c r="J298" s="16"/>
      <c r="K298" s="16"/>
    </row>
    <row r="299" ht="14.25" customHeight="1">
      <c r="B299" s="16"/>
      <c r="C299" s="198"/>
      <c r="D299" s="36"/>
      <c r="E299" s="16"/>
      <c r="F299" s="198"/>
      <c r="G299" s="16"/>
      <c r="H299" s="16"/>
      <c r="I299" s="16"/>
      <c r="J299" s="16"/>
      <c r="K299" s="16"/>
    </row>
    <row r="300" ht="14.25" customHeight="1">
      <c r="B300" s="16"/>
      <c r="C300" s="198"/>
      <c r="D300" s="36"/>
      <c r="E300" s="16"/>
      <c r="F300" s="198"/>
      <c r="G300" s="16"/>
      <c r="H300" s="16"/>
      <c r="I300" s="16"/>
      <c r="J300" s="16"/>
      <c r="K300" s="16"/>
    </row>
    <row r="301" ht="14.25" customHeight="1">
      <c r="B301" s="16"/>
      <c r="C301" s="198"/>
      <c r="D301" s="36"/>
      <c r="E301" s="16"/>
      <c r="F301" s="198"/>
      <c r="G301" s="16"/>
      <c r="H301" s="16"/>
      <c r="I301" s="16"/>
      <c r="J301" s="16"/>
      <c r="K301" s="16"/>
    </row>
    <row r="302" ht="14.25" customHeight="1">
      <c r="B302" s="16"/>
      <c r="C302" s="198"/>
      <c r="D302" s="36"/>
      <c r="E302" s="16"/>
      <c r="F302" s="198"/>
      <c r="G302" s="16"/>
      <c r="H302" s="16"/>
      <c r="I302" s="16"/>
      <c r="J302" s="16"/>
      <c r="K302" s="16"/>
    </row>
    <row r="303" ht="14.25" customHeight="1">
      <c r="B303" s="16"/>
      <c r="C303" s="198"/>
      <c r="D303" s="36"/>
      <c r="E303" s="16"/>
      <c r="F303" s="198"/>
      <c r="G303" s="16"/>
      <c r="H303" s="16"/>
      <c r="I303" s="16"/>
      <c r="J303" s="16"/>
      <c r="K303" s="16"/>
    </row>
    <row r="304" ht="14.25" customHeight="1">
      <c r="B304" s="16"/>
      <c r="C304" s="198"/>
      <c r="D304" s="36"/>
      <c r="E304" s="16"/>
      <c r="F304" s="198"/>
      <c r="G304" s="16"/>
      <c r="H304" s="16"/>
      <c r="I304" s="16"/>
      <c r="J304" s="16"/>
      <c r="K304" s="16"/>
    </row>
    <row r="305" ht="14.25" customHeight="1">
      <c r="B305" s="16"/>
      <c r="C305" s="198"/>
      <c r="D305" s="36"/>
      <c r="E305" s="16"/>
      <c r="F305" s="198"/>
      <c r="G305" s="16"/>
      <c r="H305" s="16"/>
      <c r="I305" s="16"/>
      <c r="J305" s="16"/>
      <c r="K305" s="16"/>
    </row>
    <row r="306" ht="14.25" customHeight="1">
      <c r="B306" s="16"/>
      <c r="C306" s="198"/>
      <c r="D306" s="36"/>
      <c r="E306" s="16"/>
      <c r="F306" s="198"/>
      <c r="G306" s="16"/>
      <c r="H306" s="16"/>
      <c r="I306" s="16"/>
      <c r="J306" s="16"/>
      <c r="K306" s="16"/>
    </row>
    <row r="307" ht="14.25" customHeight="1">
      <c r="B307" s="16"/>
      <c r="C307" s="198"/>
      <c r="D307" s="36"/>
      <c r="E307" s="16"/>
      <c r="F307" s="198"/>
      <c r="G307" s="16"/>
      <c r="H307" s="16"/>
      <c r="I307" s="16"/>
      <c r="J307" s="16"/>
      <c r="K307" s="16"/>
    </row>
    <row r="308" ht="14.25" customHeight="1">
      <c r="B308" s="16"/>
      <c r="C308" s="198"/>
      <c r="D308" s="36"/>
      <c r="E308" s="16"/>
      <c r="F308" s="198"/>
      <c r="G308" s="16"/>
      <c r="H308" s="16"/>
      <c r="I308" s="16"/>
      <c r="J308" s="16"/>
      <c r="K308" s="16"/>
    </row>
    <row r="309" ht="14.25" customHeight="1">
      <c r="B309" s="16"/>
      <c r="C309" s="198"/>
      <c r="D309" s="36"/>
      <c r="E309" s="16"/>
      <c r="F309" s="198"/>
      <c r="G309" s="16"/>
      <c r="H309" s="16"/>
      <c r="I309" s="16"/>
      <c r="J309" s="16"/>
      <c r="K309" s="16"/>
    </row>
    <row r="310" ht="14.25" customHeight="1">
      <c r="B310" s="16"/>
      <c r="C310" s="198"/>
      <c r="D310" s="36"/>
      <c r="E310" s="16"/>
      <c r="F310" s="198"/>
      <c r="G310" s="16"/>
      <c r="H310" s="16"/>
      <c r="I310" s="16"/>
      <c r="J310" s="16"/>
      <c r="K310" s="16"/>
    </row>
    <row r="311" ht="14.25" customHeight="1">
      <c r="B311" s="16"/>
      <c r="C311" s="198"/>
      <c r="D311" s="36"/>
      <c r="E311" s="16"/>
      <c r="F311" s="198"/>
      <c r="G311" s="16"/>
      <c r="H311" s="16"/>
      <c r="I311" s="16"/>
      <c r="J311" s="16"/>
      <c r="K311" s="16"/>
    </row>
    <row r="312" ht="14.25" customHeight="1">
      <c r="B312" s="16"/>
      <c r="C312" s="198"/>
      <c r="D312" s="36"/>
      <c r="E312" s="16"/>
      <c r="F312" s="198"/>
      <c r="G312" s="16"/>
      <c r="H312" s="16"/>
      <c r="I312" s="16"/>
      <c r="J312" s="16"/>
      <c r="K312" s="16"/>
    </row>
    <row r="313" ht="14.25" customHeight="1">
      <c r="B313" s="16"/>
      <c r="C313" s="198"/>
      <c r="D313" s="36"/>
      <c r="E313" s="16"/>
      <c r="F313" s="198"/>
      <c r="G313" s="16"/>
      <c r="H313" s="16"/>
      <c r="I313" s="16"/>
      <c r="J313" s="16"/>
      <c r="K313" s="16"/>
    </row>
    <row r="314" ht="14.25" customHeight="1">
      <c r="B314" s="16"/>
      <c r="C314" s="198"/>
      <c r="D314" s="36"/>
      <c r="E314" s="16"/>
      <c r="F314" s="198"/>
      <c r="G314" s="16"/>
      <c r="H314" s="16"/>
      <c r="I314" s="16"/>
      <c r="J314" s="16"/>
      <c r="K314" s="16"/>
    </row>
    <row r="315" ht="14.25" customHeight="1">
      <c r="B315" s="16"/>
      <c r="C315" s="198"/>
      <c r="D315" s="36"/>
      <c r="E315" s="16"/>
      <c r="F315" s="198"/>
      <c r="G315" s="16"/>
      <c r="H315" s="16"/>
      <c r="I315" s="16"/>
      <c r="J315" s="16"/>
      <c r="K315" s="16"/>
    </row>
    <row r="316" ht="14.25" customHeight="1">
      <c r="B316" s="16"/>
      <c r="C316" s="198"/>
      <c r="D316" s="36"/>
      <c r="E316" s="16"/>
      <c r="F316" s="198"/>
      <c r="G316" s="16"/>
      <c r="H316" s="16"/>
      <c r="I316" s="16"/>
      <c r="J316" s="16"/>
      <c r="K316" s="16"/>
    </row>
    <row r="317" ht="14.25" customHeight="1">
      <c r="B317" s="16"/>
      <c r="C317" s="198"/>
      <c r="D317" s="36"/>
      <c r="E317" s="16"/>
      <c r="F317" s="198"/>
      <c r="G317" s="16"/>
      <c r="H317" s="16"/>
      <c r="I317" s="16"/>
      <c r="J317" s="16"/>
      <c r="K317" s="16"/>
    </row>
    <row r="318" ht="14.25" customHeight="1">
      <c r="B318" s="16"/>
      <c r="C318" s="198"/>
      <c r="D318" s="36"/>
      <c r="E318" s="16"/>
      <c r="F318" s="198"/>
      <c r="G318" s="16"/>
      <c r="H318" s="16"/>
      <c r="I318" s="16"/>
      <c r="J318" s="16"/>
      <c r="K318" s="16"/>
    </row>
    <row r="319" ht="14.25" customHeight="1">
      <c r="B319" s="16"/>
      <c r="C319" s="198"/>
      <c r="D319" s="36"/>
      <c r="E319" s="16"/>
      <c r="F319" s="198"/>
      <c r="G319" s="16"/>
      <c r="H319" s="16"/>
      <c r="I319" s="16"/>
      <c r="J319" s="16"/>
      <c r="K319" s="16"/>
    </row>
    <row r="320" ht="14.25" customHeight="1">
      <c r="B320" s="16"/>
      <c r="C320" s="198"/>
      <c r="D320" s="36"/>
      <c r="E320" s="16"/>
      <c r="F320" s="198"/>
      <c r="G320" s="16"/>
      <c r="H320" s="16"/>
      <c r="I320" s="16"/>
      <c r="J320" s="16"/>
      <c r="K320" s="16"/>
    </row>
    <row r="321" ht="14.25" customHeight="1">
      <c r="B321" s="16"/>
      <c r="C321" s="198"/>
      <c r="D321" s="36"/>
      <c r="E321" s="16"/>
      <c r="F321" s="198"/>
      <c r="G321" s="16"/>
      <c r="H321" s="16"/>
      <c r="I321" s="16"/>
      <c r="J321" s="16"/>
      <c r="K321" s="16"/>
    </row>
    <row r="322" ht="14.25" customHeight="1">
      <c r="B322" s="16"/>
      <c r="C322" s="198"/>
      <c r="D322" s="36"/>
      <c r="E322" s="16"/>
      <c r="F322" s="198"/>
      <c r="G322" s="16"/>
      <c r="H322" s="16"/>
      <c r="I322" s="16"/>
      <c r="J322" s="16"/>
      <c r="K322" s="16"/>
    </row>
    <row r="323" ht="14.25" customHeight="1">
      <c r="B323" s="16"/>
      <c r="C323" s="198"/>
      <c r="D323" s="36"/>
      <c r="E323" s="16"/>
      <c r="F323" s="198"/>
      <c r="G323" s="16"/>
      <c r="H323" s="16"/>
      <c r="I323" s="16"/>
      <c r="J323" s="16"/>
      <c r="K323" s="16"/>
    </row>
    <row r="324" ht="14.25" customHeight="1">
      <c r="B324" s="16"/>
      <c r="C324" s="198"/>
      <c r="D324" s="36"/>
      <c r="E324" s="16"/>
      <c r="F324" s="198"/>
      <c r="G324" s="16"/>
      <c r="H324" s="16"/>
      <c r="I324" s="16"/>
      <c r="J324" s="16"/>
      <c r="K324" s="16"/>
    </row>
    <row r="325" ht="14.25" customHeight="1">
      <c r="B325" s="16"/>
      <c r="C325" s="198"/>
      <c r="D325" s="36"/>
      <c r="E325" s="16"/>
      <c r="F325" s="198"/>
      <c r="G325" s="16"/>
      <c r="H325" s="16"/>
      <c r="I325" s="16"/>
      <c r="J325" s="16"/>
      <c r="K325" s="16"/>
    </row>
    <row r="326" ht="14.25" customHeight="1">
      <c r="B326" s="16"/>
      <c r="C326" s="198"/>
      <c r="D326" s="36"/>
      <c r="E326" s="16"/>
      <c r="F326" s="198"/>
      <c r="G326" s="16"/>
      <c r="H326" s="16"/>
      <c r="I326" s="16"/>
      <c r="J326" s="16"/>
      <c r="K326" s="16"/>
    </row>
    <row r="327" ht="14.25" customHeight="1">
      <c r="B327" s="16"/>
      <c r="C327" s="198"/>
      <c r="D327" s="36"/>
      <c r="E327" s="16"/>
      <c r="F327" s="198"/>
      <c r="G327" s="16"/>
      <c r="H327" s="16"/>
      <c r="I327" s="16"/>
      <c r="J327" s="16"/>
      <c r="K327" s="16"/>
    </row>
    <row r="328" ht="14.25" customHeight="1">
      <c r="B328" s="16"/>
      <c r="C328" s="198"/>
      <c r="D328" s="36"/>
      <c r="E328" s="16"/>
      <c r="F328" s="198"/>
      <c r="G328" s="16"/>
      <c r="H328" s="16"/>
      <c r="I328" s="16"/>
      <c r="J328" s="16"/>
      <c r="K328" s="16"/>
    </row>
    <row r="329" ht="14.25" customHeight="1">
      <c r="B329" s="16"/>
      <c r="C329" s="198"/>
      <c r="D329" s="36"/>
      <c r="E329" s="16"/>
      <c r="F329" s="198"/>
      <c r="G329" s="16"/>
      <c r="H329" s="16"/>
      <c r="I329" s="16"/>
      <c r="J329" s="16"/>
      <c r="K329" s="16"/>
    </row>
    <row r="330" ht="14.25" customHeight="1">
      <c r="B330" s="16"/>
      <c r="C330" s="198"/>
      <c r="D330" s="36"/>
      <c r="E330" s="16"/>
      <c r="F330" s="198"/>
      <c r="G330" s="16"/>
      <c r="H330" s="16"/>
      <c r="I330" s="16"/>
      <c r="J330" s="16"/>
      <c r="K330" s="16"/>
    </row>
    <row r="331" ht="14.25" customHeight="1">
      <c r="B331" s="16"/>
      <c r="C331" s="198"/>
      <c r="D331" s="36"/>
      <c r="E331" s="16"/>
      <c r="F331" s="198"/>
      <c r="G331" s="16"/>
      <c r="H331" s="16"/>
      <c r="I331" s="16"/>
      <c r="J331" s="16"/>
      <c r="K331" s="16"/>
    </row>
    <row r="332" ht="14.25" customHeight="1">
      <c r="B332" s="16"/>
      <c r="C332" s="198"/>
      <c r="D332" s="36"/>
      <c r="E332" s="16"/>
      <c r="F332" s="198"/>
      <c r="G332" s="16"/>
      <c r="H332" s="16"/>
      <c r="I332" s="16"/>
      <c r="J332" s="16"/>
      <c r="K332" s="16"/>
    </row>
    <row r="333" ht="14.25" customHeight="1">
      <c r="B333" s="16"/>
      <c r="C333" s="198"/>
      <c r="D333" s="36"/>
      <c r="E333" s="16"/>
      <c r="F333" s="198"/>
      <c r="G333" s="16"/>
      <c r="H333" s="16"/>
      <c r="I333" s="16"/>
      <c r="J333" s="16"/>
      <c r="K333" s="16"/>
    </row>
    <row r="334" ht="14.25" customHeight="1">
      <c r="B334" s="16"/>
      <c r="C334" s="198"/>
      <c r="D334" s="36"/>
      <c r="E334" s="16"/>
      <c r="F334" s="198"/>
      <c r="G334" s="16"/>
      <c r="H334" s="16"/>
      <c r="I334" s="16"/>
      <c r="J334" s="16"/>
      <c r="K334" s="16"/>
    </row>
    <row r="335" ht="14.25" customHeight="1">
      <c r="B335" s="16"/>
      <c r="C335" s="198"/>
      <c r="D335" s="36"/>
      <c r="E335" s="16"/>
      <c r="F335" s="198"/>
      <c r="G335" s="16"/>
      <c r="H335" s="16"/>
      <c r="I335" s="16"/>
      <c r="J335" s="16"/>
      <c r="K335" s="16"/>
    </row>
    <row r="336" ht="14.25" customHeight="1">
      <c r="B336" s="16"/>
      <c r="C336" s="198"/>
      <c r="D336" s="36"/>
      <c r="E336" s="16"/>
      <c r="F336" s="198"/>
      <c r="G336" s="16"/>
      <c r="H336" s="16"/>
      <c r="I336" s="16"/>
      <c r="J336" s="16"/>
      <c r="K336" s="16"/>
    </row>
    <row r="337" ht="14.25" customHeight="1">
      <c r="B337" s="16"/>
      <c r="C337" s="198"/>
      <c r="D337" s="36"/>
      <c r="E337" s="16"/>
      <c r="F337" s="198"/>
      <c r="G337" s="16"/>
      <c r="H337" s="16"/>
      <c r="I337" s="16"/>
      <c r="J337" s="16"/>
      <c r="K337" s="16"/>
    </row>
    <row r="338" ht="14.25" customHeight="1">
      <c r="B338" s="16"/>
      <c r="C338" s="198"/>
      <c r="D338" s="36"/>
      <c r="E338" s="16"/>
      <c r="F338" s="198"/>
      <c r="G338" s="16"/>
      <c r="H338" s="16"/>
      <c r="I338" s="16"/>
      <c r="J338" s="16"/>
      <c r="K338" s="16"/>
    </row>
    <row r="339" ht="14.25" customHeight="1">
      <c r="B339" s="16"/>
      <c r="C339" s="198"/>
      <c r="D339" s="36"/>
      <c r="E339" s="16"/>
      <c r="F339" s="198"/>
      <c r="G339" s="16"/>
      <c r="H339" s="16"/>
      <c r="I339" s="16"/>
      <c r="J339" s="16"/>
      <c r="K339" s="16"/>
    </row>
    <row r="340" ht="14.25" customHeight="1">
      <c r="B340" s="16"/>
      <c r="C340" s="198"/>
      <c r="D340" s="36"/>
      <c r="E340" s="16"/>
      <c r="F340" s="198"/>
      <c r="G340" s="16"/>
      <c r="H340" s="16"/>
      <c r="I340" s="16"/>
      <c r="J340" s="16"/>
      <c r="K340" s="16"/>
    </row>
    <row r="341" ht="14.25" customHeight="1">
      <c r="B341" s="16"/>
      <c r="C341" s="198"/>
      <c r="D341" s="36"/>
      <c r="E341" s="16"/>
      <c r="F341" s="198"/>
      <c r="G341" s="16"/>
      <c r="H341" s="16"/>
      <c r="I341" s="16"/>
      <c r="J341" s="16"/>
      <c r="K341" s="16"/>
    </row>
    <row r="342" ht="14.25" customHeight="1">
      <c r="B342" s="16"/>
      <c r="C342" s="198"/>
      <c r="D342" s="36"/>
      <c r="E342" s="16"/>
      <c r="F342" s="198"/>
      <c r="G342" s="16"/>
      <c r="H342" s="16"/>
      <c r="I342" s="16"/>
      <c r="J342" s="16"/>
      <c r="K342" s="16"/>
    </row>
    <row r="343" ht="14.25" customHeight="1">
      <c r="B343" s="16"/>
      <c r="C343" s="198"/>
      <c r="D343" s="36"/>
      <c r="E343" s="16"/>
      <c r="F343" s="198"/>
      <c r="G343" s="16"/>
      <c r="H343" s="16"/>
      <c r="I343" s="16"/>
      <c r="J343" s="16"/>
      <c r="K343" s="16"/>
    </row>
    <row r="344" ht="14.25" customHeight="1">
      <c r="B344" s="16"/>
      <c r="C344" s="198"/>
      <c r="D344" s="36"/>
      <c r="E344" s="16"/>
      <c r="F344" s="198"/>
      <c r="G344" s="16"/>
      <c r="H344" s="16"/>
      <c r="I344" s="16"/>
      <c r="J344" s="16"/>
      <c r="K344" s="16"/>
    </row>
    <row r="345" ht="14.25" customHeight="1">
      <c r="B345" s="16"/>
      <c r="C345" s="198"/>
      <c r="D345" s="36"/>
      <c r="E345" s="16"/>
      <c r="F345" s="198"/>
      <c r="G345" s="16"/>
      <c r="H345" s="16"/>
      <c r="I345" s="16"/>
      <c r="J345" s="16"/>
      <c r="K345" s="16"/>
    </row>
    <row r="346" ht="14.25" customHeight="1">
      <c r="B346" s="16"/>
      <c r="C346" s="198"/>
      <c r="D346" s="36"/>
      <c r="E346" s="16"/>
      <c r="F346" s="198"/>
      <c r="G346" s="16"/>
      <c r="H346" s="16"/>
      <c r="I346" s="16"/>
      <c r="J346" s="16"/>
      <c r="K346" s="16"/>
    </row>
    <row r="347" ht="14.25" customHeight="1">
      <c r="B347" s="16"/>
      <c r="C347" s="198"/>
      <c r="D347" s="36"/>
      <c r="E347" s="16"/>
      <c r="F347" s="198"/>
      <c r="G347" s="16"/>
      <c r="H347" s="16"/>
      <c r="I347" s="16"/>
      <c r="J347" s="16"/>
      <c r="K347" s="16"/>
    </row>
    <row r="348" ht="14.25" customHeight="1">
      <c r="B348" s="16"/>
      <c r="C348" s="198"/>
      <c r="D348" s="36"/>
      <c r="E348" s="16"/>
      <c r="F348" s="198"/>
      <c r="G348" s="16"/>
      <c r="H348" s="16"/>
      <c r="I348" s="16"/>
      <c r="J348" s="16"/>
      <c r="K348" s="16"/>
    </row>
    <row r="349" ht="14.25" customHeight="1">
      <c r="B349" s="16"/>
      <c r="C349" s="198"/>
      <c r="D349" s="36"/>
      <c r="E349" s="16"/>
      <c r="F349" s="198"/>
      <c r="G349" s="16"/>
      <c r="H349" s="16"/>
      <c r="I349" s="16"/>
      <c r="J349" s="16"/>
      <c r="K349" s="16"/>
    </row>
    <row r="350" ht="14.25" customHeight="1">
      <c r="B350" s="16"/>
      <c r="C350" s="198"/>
      <c r="D350" s="36"/>
      <c r="E350" s="16"/>
      <c r="F350" s="198"/>
      <c r="G350" s="16"/>
      <c r="H350" s="16"/>
      <c r="I350" s="16"/>
      <c r="J350" s="16"/>
      <c r="K350" s="16"/>
    </row>
    <row r="351" ht="14.25" customHeight="1">
      <c r="B351" s="16"/>
      <c r="C351" s="198"/>
      <c r="D351" s="36"/>
      <c r="E351" s="16"/>
      <c r="F351" s="198"/>
      <c r="G351" s="16"/>
      <c r="H351" s="16"/>
      <c r="I351" s="16"/>
      <c r="J351" s="16"/>
      <c r="K351" s="16"/>
    </row>
    <row r="352" ht="14.25" customHeight="1">
      <c r="B352" s="16"/>
      <c r="C352" s="198"/>
      <c r="D352" s="36"/>
      <c r="E352" s="16"/>
      <c r="F352" s="198"/>
      <c r="G352" s="16"/>
      <c r="H352" s="16"/>
      <c r="I352" s="16"/>
      <c r="J352" s="16"/>
      <c r="K352" s="16"/>
    </row>
    <row r="353" ht="14.25" customHeight="1">
      <c r="B353" s="16"/>
      <c r="C353" s="198"/>
      <c r="D353" s="36"/>
      <c r="E353" s="16"/>
      <c r="F353" s="198"/>
      <c r="G353" s="16"/>
      <c r="H353" s="16"/>
      <c r="I353" s="16"/>
      <c r="J353" s="16"/>
      <c r="K353" s="16"/>
    </row>
    <row r="354" ht="14.25" customHeight="1">
      <c r="B354" s="16"/>
      <c r="C354" s="198"/>
      <c r="D354" s="36"/>
      <c r="E354" s="16"/>
      <c r="F354" s="198"/>
      <c r="G354" s="16"/>
      <c r="H354" s="16"/>
      <c r="I354" s="16"/>
      <c r="J354" s="16"/>
      <c r="K354" s="16"/>
    </row>
    <row r="355" ht="14.25" customHeight="1">
      <c r="B355" s="16"/>
      <c r="C355" s="198"/>
      <c r="D355" s="36"/>
      <c r="E355" s="16"/>
      <c r="F355" s="198"/>
      <c r="G355" s="16"/>
      <c r="H355" s="16"/>
      <c r="I355" s="16"/>
      <c r="J355" s="16"/>
      <c r="K355" s="16"/>
    </row>
    <row r="356" ht="14.25" customHeight="1">
      <c r="B356" s="16"/>
      <c r="C356" s="198"/>
      <c r="D356" s="36"/>
      <c r="E356" s="16"/>
      <c r="F356" s="198"/>
      <c r="G356" s="16"/>
      <c r="H356" s="16"/>
      <c r="I356" s="16"/>
      <c r="J356" s="16"/>
      <c r="K356" s="16"/>
    </row>
    <row r="357" ht="14.25" customHeight="1">
      <c r="B357" s="16"/>
      <c r="C357" s="198"/>
      <c r="D357" s="36"/>
      <c r="E357" s="16"/>
      <c r="F357" s="198"/>
      <c r="G357" s="16"/>
      <c r="H357" s="16"/>
      <c r="I357" s="16"/>
      <c r="J357" s="16"/>
      <c r="K357" s="16"/>
    </row>
    <row r="358" ht="14.25" customHeight="1">
      <c r="B358" s="16"/>
      <c r="C358" s="198"/>
      <c r="D358" s="36"/>
      <c r="E358" s="16"/>
      <c r="F358" s="198"/>
      <c r="G358" s="16"/>
      <c r="H358" s="16"/>
      <c r="I358" s="16"/>
      <c r="J358" s="16"/>
      <c r="K358" s="16"/>
    </row>
    <row r="359" ht="14.25" customHeight="1">
      <c r="B359" s="16"/>
      <c r="C359" s="198"/>
      <c r="D359" s="36"/>
      <c r="E359" s="16"/>
      <c r="F359" s="198"/>
      <c r="G359" s="16"/>
      <c r="H359" s="16"/>
      <c r="I359" s="16"/>
      <c r="J359" s="16"/>
      <c r="K359" s="16"/>
    </row>
    <row r="360" ht="14.25" customHeight="1">
      <c r="B360" s="16"/>
      <c r="C360" s="198"/>
      <c r="D360" s="36"/>
      <c r="E360" s="16"/>
      <c r="F360" s="198"/>
      <c r="G360" s="16"/>
      <c r="H360" s="16"/>
      <c r="I360" s="16"/>
      <c r="J360" s="16"/>
      <c r="K360" s="16"/>
    </row>
    <row r="361" ht="14.25" customHeight="1">
      <c r="B361" s="16"/>
      <c r="C361" s="198"/>
      <c r="D361" s="36"/>
      <c r="E361" s="16"/>
      <c r="F361" s="198"/>
      <c r="G361" s="16"/>
      <c r="H361" s="16"/>
      <c r="I361" s="16"/>
      <c r="J361" s="16"/>
      <c r="K361" s="16"/>
    </row>
    <row r="362" ht="14.25" customHeight="1">
      <c r="B362" s="16"/>
      <c r="C362" s="198"/>
      <c r="D362" s="36"/>
      <c r="E362" s="16"/>
      <c r="F362" s="198"/>
      <c r="G362" s="16"/>
      <c r="H362" s="16"/>
      <c r="I362" s="16"/>
      <c r="J362" s="16"/>
      <c r="K362" s="16"/>
    </row>
    <row r="363" ht="14.25" customHeight="1">
      <c r="B363" s="16"/>
      <c r="C363" s="198"/>
      <c r="D363" s="36"/>
      <c r="E363" s="16"/>
      <c r="F363" s="198"/>
      <c r="G363" s="16"/>
      <c r="H363" s="16"/>
      <c r="I363" s="16"/>
      <c r="J363" s="16"/>
      <c r="K363" s="16"/>
    </row>
    <row r="364" ht="14.25" customHeight="1">
      <c r="B364" s="16"/>
      <c r="C364" s="198"/>
      <c r="D364" s="36"/>
      <c r="E364" s="16"/>
      <c r="F364" s="198"/>
      <c r="G364" s="16"/>
      <c r="H364" s="16"/>
      <c r="I364" s="16"/>
      <c r="J364" s="16"/>
      <c r="K364" s="16"/>
    </row>
    <row r="365" ht="14.25" customHeight="1">
      <c r="B365" s="16"/>
      <c r="C365" s="198"/>
      <c r="D365" s="36"/>
      <c r="E365" s="16"/>
      <c r="F365" s="198"/>
      <c r="G365" s="16"/>
      <c r="H365" s="16"/>
      <c r="I365" s="16"/>
      <c r="J365" s="16"/>
      <c r="K365" s="16"/>
    </row>
    <row r="366" ht="14.25" customHeight="1">
      <c r="B366" s="16"/>
      <c r="C366" s="198"/>
      <c r="D366" s="36"/>
      <c r="E366" s="16"/>
      <c r="F366" s="198"/>
      <c r="G366" s="16"/>
      <c r="H366" s="16"/>
      <c r="I366" s="16"/>
      <c r="J366" s="16"/>
      <c r="K366" s="16"/>
    </row>
    <row r="367" ht="14.25" customHeight="1">
      <c r="B367" s="16"/>
      <c r="C367" s="198"/>
      <c r="D367" s="36"/>
      <c r="E367" s="16"/>
      <c r="F367" s="198"/>
      <c r="G367" s="16"/>
      <c r="H367" s="16"/>
      <c r="I367" s="16"/>
      <c r="J367" s="16"/>
      <c r="K367" s="16"/>
    </row>
    <row r="368" ht="14.25" customHeight="1">
      <c r="B368" s="16"/>
      <c r="C368" s="198"/>
      <c r="D368" s="36"/>
      <c r="E368" s="16"/>
      <c r="F368" s="198"/>
      <c r="G368" s="16"/>
      <c r="H368" s="16"/>
      <c r="I368" s="16"/>
      <c r="J368" s="16"/>
      <c r="K368" s="16"/>
    </row>
    <row r="369" ht="14.25" customHeight="1"/>
    <row r="370" ht="14.25" customHeight="1"/>
    <row r="371" ht="14.25" customHeight="1">
      <c r="B371" s="16"/>
      <c r="C371" s="198"/>
      <c r="D371" s="36"/>
      <c r="E371" s="16"/>
      <c r="F371" s="198"/>
      <c r="G371" s="16"/>
      <c r="H371" s="16"/>
      <c r="I371" s="16"/>
      <c r="J371" s="16"/>
      <c r="K371" s="16"/>
    </row>
    <row r="372" ht="14.25" customHeight="1">
      <c r="B372" s="16"/>
      <c r="C372" s="198"/>
      <c r="D372" s="36"/>
      <c r="E372" s="16"/>
      <c r="F372" s="198"/>
      <c r="G372" s="16"/>
      <c r="H372" s="16"/>
      <c r="I372" s="16"/>
      <c r="J372" s="16"/>
      <c r="K372" s="16"/>
    </row>
    <row r="373" ht="14.25" customHeight="1">
      <c r="B373" s="16"/>
      <c r="C373" s="198"/>
      <c r="D373" s="36"/>
      <c r="E373" s="16"/>
      <c r="F373" s="198"/>
      <c r="G373" s="16"/>
      <c r="H373" s="16"/>
      <c r="I373" s="16"/>
      <c r="J373" s="16"/>
      <c r="K373" s="16"/>
    </row>
    <row r="374" ht="14.25" customHeight="1">
      <c r="B374" s="16"/>
      <c r="C374" s="198"/>
      <c r="D374" s="36"/>
      <c r="E374" s="16"/>
      <c r="F374" s="198"/>
      <c r="G374" s="16"/>
      <c r="H374" s="16"/>
      <c r="I374" s="16"/>
      <c r="J374" s="16"/>
      <c r="K374" s="16"/>
    </row>
    <row r="375" ht="14.25" customHeight="1">
      <c r="B375" s="16"/>
      <c r="C375" s="198"/>
      <c r="D375" s="36"/>
      <c r="E375" s="16"/>
      <c r="F375" s="198"/>
      <c r="G375" s="16"/>
      <c r="H375" s="16"/>
      <c r="I375" s="16"/>
      <c r="J375" s="16"/>
      <c r="K375" s="16"/>
    </row>
    <row r="376" ht="14.25" customHeight="1">
      <c r="B376" s="16"/>
      <c r="C376" s="198"/>
      <c r="D376" s="36"/>
      <c r="E376" s="16"/>
      <c r="F376" s="198"/>
      <c r="G376" s="16"/>
      <c r="H376" s="16"/>
      <c r="I376" s="16"/>
      <c r="J376" s="16"/>
      <c r="K376" s="16"/>
    </row>
    <row r="377" ht="14.25" customHeight="1">
      <c r="B377" s="16"/>
      <c r="C377" s="198"/>
      <c r="D377" s="36"/>
      <c r="E377" s="16"/>
      <c r="F377" s="198"/>
      <c r="G377" s="16"/>
      <c r="H377" s="16"/>
      <c r="I377" s="16"/>
      <c r="J377" s="16"/>
      <c r="K377" s="16"/>
    </row>
    <row r="378" ht="14.25" customHeight="1">
      <c r="B378" s="16"/>
      <c r="C378" s="198"/>
      <c r="D378" s="36"/>
      <c r="E378" s="16"/>
      <c r="F378" s="198"/>
      <c r="G378" s="16"/>
      <c r="H378" s="16"/>
      <c r="I378" s="16"/>
      <c r="J378" s="16"/>
      <c r="K378" s="16"/>
    </row>
    <row r="379" ht="14.25" customHeight="1">
      <c r="B379" s="16"/>
      <c r="C379" s="198"/>
      <c r="D379" s="36"/>
      <c r="E379" s="16"/>
      <c r="F379" s="198"/>
      <c r="G379" s="16"/>
      <c r="H379" s="16"/>
      <c r="I379" s="16"/>
      <c r="J379" s="16"/>
      <c r="K379" s="16"/>
    </row>
    <row r="380" ht="14.25" customHeight="1">
      <c r="B380" s="16"/>
      <c r="C380" s="198"/>
      <c r="D380" s="36"/>
      <c r="E380" s="16"/>
      <c r="F380" s="198"/>
      <c r="G380" s="16"/>
      <c r="H380" s="16"/>
      <c r="I380" s="16"/>
      <c r="J380" s="16"/>
      <c r="K380" s="16"/>
    </row>
    <row r="381" ht="14.25" customHeight="1">
      <c r="B381" s="16"/>
      <c r="C381" s="198"/>
      <c r="D381" s="36"/>
      <c r="E381" s="16"/>
      <c r="F381" s="198"/>
      <c r="G381" s="16"/>
      <c r="H381" s="16"/>
      <c r="I381" s="16"/>
      <c r="J381" s="16"/>
      <c r="K381" s="16"/>
    </row>
    <row r="382" ht="14.25" customHeight="1">
      <c r="B382" s="16"/>
      <c r="C382" s="198"/>
      <c r="D382" s="36"/>
      <c r="E382" s="16"/>
      <c r="F382" s="198"/>
      <c r="G382" s="16"/>
      <c r="H382" s="16"/>
      <c r="I382" s="16"/>
      <c r="J382" s="16"/>
      <c r="K382" s="16"/>
    </row>
    <row r="383" ht="14.25" customHeight="1">
      <c r="B383" s="16"/>
      <c r="C383" s="198"/>
      <c r="D383" s="36"/>
      <c r="E383" s="16"/>
      <c r="F383" s="198"/>
      <c r="G383" s="16"/>
      <c r="H383" s="16"/>
      <c r="I383" s="16"/>
      <c r="J383" s="16"/>
      <c r="K383" s="16"/>
    </row>
    <row r="384" ht="14.25" customHeight="1">
      <c r="B384" s="16"/>
      <c r="C384" s="198"/>
      <c r="D384" s="36"/>
      <c r="E384" s="16"/>
      <c r="F384" s="198"/>
      <c r="G384" s="16"/>
      <c r="H384" s="16"/>
      <c r="I384" s="16"/>
      <c r="J384" s="16"/>
      <c r="K384" s="16"/>
    </row>
    <row r="385" ht="14.25" customHeight="1">
      <c r="B385" s="16"/>
      <c r="C385" s="198"/>
      <c r="D385" s="36"/>
      <c r="E385" s="16"/>
      <c r="F385" s="198"/>
      <c r="G385" s="16"/>
      <c r="H385" s="16"/>
      <c r="I385" s="16"/>
      <c r="J385" s="16"/>
      <c r="K385" s="16"/>
    </row>
    <row r="386" ht="14.25" customHeight="1">
      <c r="B386" s="16"/>
      <c r="C386" s="198"/>
      <c r="D386" s="36"/>
      <c r="E386" s="16"/>
      <c r="F386" s="198"/>
      <c r="G386" s="16"/>
      <c r="H386" s="16"/>
      <c r="I386" s="16"/>
      <c r="J386" s="16"/>
      <c r="K386" s="16"/>
    </row>
    <row r="387" ht="14.25" customHeight="1">
      <c r="B387" s="16"/>
      <c r="C387" s="198"/>
      <c r="D387" s="36"/>
      <c r="E387" s="16"/>
      <c r="F387" s="198"/>
      <c r="G387" s="16"/>
      <c r="H387" s="16"/>
      <c r="I387" s="16"/>
      <c r="J387" s="16"/>
      <c r="K387" s="16"/>
    </row>
    <row r="388" ht="14.25" customHeight="1">
      <c r="B388" s="16"/>
      <c r="C388" s="198"/>
      <c r="D388" s="36"/>
      <c r="E388" s="16"/>
      <c r="F388" s="198"/>
      <c r="G388" s="16"/>
      <c r="H388" s="16"/>
      <c r="I388" s="16"/>
      <c r="J388" s="16"/>
      <c r="K388" s="16"/>
    </row>
    <row r="389" ht="14.25" customHeight="1">
      <c r="B389" s="16"/>
      <c r="C389" s="198"/>
      <c r="D389" s="36"/>
      <c r="E389" s="16"/>
      <c r="F389" s="198"/>
      <c r="G389" s="16"/>
      <c r="H389" s="16"/>
      <c r="I389" s="16"/>
      <c r="J389" s="16"/>
      <c r="K389" s="16"/>
    </row>
    <row r="390" ht="14.25" customHeight="1">
      <c r="B390" s="16"/>
      <c r="C390" s="198"/>
      <c r="D390" s="36"/>
      <c r="E390" s="16"/>
      <c r="F390" s="198"/>
      <c r="G390" s="16"/>
      <c r="H390" s="16"/>
      <c r="I390" s="16"/>
      <c r="J390" s="16"/>
      <c r="K390" s="16"/>
    </row>
    <row r="391" ht="14.25" customHeight="1">
      <c r="B391" s="16"/>
      <c r="C391" s="198"/>
      <c r="D391" s="36"/>
      <c r="E391" s="16"/>
      <c r="F391" s="198"/>
      <c r="G391" s="16"/>
      <c r="H391" s="16"/>
      <c r="I391" s="16"/>
      <c r="J391" s="16"/>
      <c r="K391" s="16"/>
    </row>
    <row r="392" ht="14.25" customHeight="1">
      <c r="B392" s="16"/>
      <c r="C392" s="198"/>
      <c r="D392" s="36"/>
      <c r="E392" s="16"/>
      <c r="F392" s="198"/>
      <c r="G392" s="16"/>
      <c r="H392" s="16"/>
      <c r="I392" s="16"/>
      <c r="J392" s="16"/>
      <c r="K392" s="16"/>
    </row>
    <row r="393" ht="14.25" customHeight="1">
      <c r="B393" s="16"/>
      <c r="C393" s="198"/>
      <c r="D393" s="36"/>
      <c r="E393" s="16"/>
      <c r="F393" s="198"/>
      <c r="G393" s="16"/>
      <c r="H393" s="16"/>
      <c r="I393" s="16"/>
      <c r="J393" s="16"/>
      <c r="K393" s="16"/>
    </row>
    <row r="394" ht="14.25" customHeight="1">
      <c r="B394" s="16"/>
      <c r="C394" s="198"/>
      <c r="D394" s="36"/>
      <c r="E394" s="16"/>
      <c r="F394" s="198"/>
      <c r="G394" s="16"/>
      <c r="H394" s="16"/>
      <c r="I394" s="16"/>
      <c r="J394" s="16"/>
      <c r="K394" s="16"/>
    </row>
    <row r="395" ht="14.25" customHeight="1">
      <c r="B395" s="16"/>
      <c r="C395" s="198"/>
      <c r="D395" s="36"/>
      <c r="E395" s="16"/>
      <c r="F395" s="198"/>
      <c r="G395" s="16"/>
      <c r="H395" s="16"/>
      <c r="I395" s="16"/>
      <c r="J395" s="16"/>
      <c r="K395" s="16"/>
    </row>
    <row r="396" ht="14.25" customHeight="1">
      <c r="B396" s="16"/>
      <c r="C396" s="198"/>
      <c r="D396" s="36"/>
      <c r="E396" s="16"/>
      <c r="F396" s="198"/>
      <c r="G396" s="16"/>
      <c r="H396" s="16"/>
      <c r="I396" s="16"/>
      <c r="J396" s="16"/>
      <c r="K396" s="16"/>
    </row>
    <row r="397" ht="14.25" customHeight="1">
      <c r="B397" s="16"/>
      <c r="C397" s="198"/>
      <c r="D397" s="36"/>
      <c r="E397" s="16"/>
      <c r="F397" s="198"/>
      <c r="G397" s="16"/>
      <c r="H397" s="16"/>
      <c r="I397" s="16"/>
      <c r="J397" s="16"/>
      <c r="K397" s="16"/>
    </row>
    <row r="398" ht="14.25" customHeight="1">
      <c r="B398" s="16"/>
      <c r="C398" s="198"/>
      <c r="D398" s="36"/>
      <c r="E398" s="16"/>
      <c r="F398" s="198"/>
      <c r="G398" s="16"/>
      <c r="H398" s="16"/>
      <c r="I398" s="16"/>
      <c r="J398" s="16"/>
      <c r="K398" s="16"/>
    </row>
    <row r="399" ht="14.25" customHeight="1">
      <c r="B399" s="16"/>
      <c r="C399" s="198"/>
      <c r="D399" s="36"/>
      <c r="E399" s="16"/>
      <c r="F399" s="198"/>
      <c r="G399" s="16"/>
      <c r="H399" s="16"/>
      <c r="I399" s="16"/>
      <c r="J399" s="16"/>
      <c r="K399" s="16"/>
    </row>
    <row r="400" ht="14.25" customHeight="1">
      <c r="B400" s="16"/>
      <c r="C400" s="198"/>
      <c r="D400" s="36"/>
      <c r="E400" s="16"/>
      <c r="F400" s="198"/>
      <c r="G400" s="16"/>
      <c r="H400" s="16"/>
      <c r="I400" s="16"/>
      <c r="J400" s="16"/>
      <c r="K400" s="16"/>
    </row>
    <row r="401" ht="14.25" customHeight="1">
      <c r="B401" s="16"/>
      <c r="C401" s="198"/>
      <c r="D401" s="36"/>
      <c r="E401" s="16"/>
      <c r="F401" s="198"/>
      <c r="G401" s="16"/>
      <c r="H401" s="16"/>
      <c r="I401" s="16"/>
      <c r="J401" s="16"/>
      <c r="K401" s="16"/>
    </row>
    <row r="402" ht="14.25" customHeight="1">
      <c r="B402" s="16"/>
      <c r="C402" s="198"/>
      <c r="D402" s="36"/>
      <c r="E402" s="16"/>
      <c r="F402" s="198"/>
      <c r="G402" s="16"/>
      <c r="H402" s="16"/>
      <c r="I402" s="16"/>
      <c r="J402" s="16"/>
      <c r="K402" s="16"/>
    </row>
    <row r="403" ht="14.25" customHeight="1">
      <c r="B403" s="16"/>
      <c r="C403" s="198"/>
      <c r="D403" s="36"/>
      <c r="E403" s="16"/>
      <c r="F403" s="198"/>
      <c r="G403" s="16"/>
      <c r="H403" s="16"/>
      <c r="I403" s="16"/>
      <c r="J403" s="16"/>
      <c r="K403" s="16"/>
    </row>
    <row r="404" ht="14.25" customHeight="1">
      <c r="B404" s="16"/>
      <c r="C404" s="198"/>
      <c r="D404" s="36"/>
      <c r="E404" s="16"/>
      <c r="F404" s="198"/>
      <c r="G404" s="16"/>
      <c r="H404" s="16"/>
      <c r="I404" s="16"/>
      <c r="J404" s="16"/>
      <c r="K404" s="16"/>
    </row>
    <row r="405" ht="14.25" customHeight="1">
      <c r="B405" s="16"/>
      <c r="C405" s="198"/>
      <c r="D405" s="36"/>
      <c r="E405" s="16"/>
      <c r="F405" s="198"/>
      <c r="G405" s="16"/>
      <c r="H405" s="16"/>
      <c r="I405" s="16"/>
      <c r="J405" s="16"/>
      <c r="K405" s="16"/>
    </row>
    <row r="406" ht="14.25" customHeight="1">
      <c r="B406" s="16"/>
      <c r="C406" s="198"/>
      <c r="D406" s="36"/>
      <c r="E406" s="16"/>
      <c r="F406" s="198"/>
      <c r="G406" s="16"/>
      <c r="H406" s="16"/>
      <c r="I406" s="16"/>
      <c r="J406" s="16"/>
      <c r="K406" s="16"/>
    </row>
    <row r="407" ht="14.25" customHeight="1">
      <c r="B407" s="16"/>
      <c r="C407" s="198"/>
      <c r="D407" s="36"/>
      <c r="E407" s="16"/>
      <c r="F407" s="198"/>
      <c r="G407" s="16"/>
      <c r="H407" s="16"/>
      <c r="I407" s="16"/>
      <c r="J407" s="16"/>
      <c r="K407" s="16"/>
    </row>
    <row r="408" ht="14.25" customHeight="1">
      <c r="B408" s="16"/>
      <c r="C408" s="198"/>
      <c r="D408" s="36"/>
      <c r="E408" s="16"/>
      <c r="F408" s="198"/>
      <c r="G408" s="16"/>
      <c r="H408" s="16"/>
      <c r="I408" s="16"/>
      <c r="J408" s="16"/>
      <c r="K408" s="16"/>
    </row>
    <row r="409" ht="14.25" customHeight="1">
      <c r="B409" s="16"/>
      <c r="C409" s="198"/>
      <c r="D409" s="36"/>
      <c r="E409" s="16"/>
      <c r="F409" s="198"/>
      <c r="G409" s="16"/>
      <c r="H409" s="16"/>
      <c r="I409" s="16"/>
      <c r="J409" s="16"/>
      <c r="K409" s="16"/>
    </row>
    <row r="410" ht="14.25" customHeight="1">
      <c r="B410" s="16"/>
      <c r="C410" s="198"/>
      <c r="D410" s="36"/>
      <c r="E410" s="16"/>
      <c r="F410" s="198"/>
      <c r="G410" s="16"/>
      <c r="H410" s="16"/>
      <c r="I410" s="16"/>
      <c r="J410" s="16"/>
      <c r="K410" s="16"/>
    </row>
    <row r="411" ht="14.25" customHeight="1">
      <c r="B411" s="16"/>
      <c r="C411" s="198"/>
      <c r="D411" s="36"/>
      <c r="E411" s="16"/>
      <c r="F411" s="198"/>
      <c r="G411" s="16"/>
      <c r="H411" s="16"/>
      <c r="I411" s="16"/>
      <c r="J411" s="16"/>
      <c r="K411" s="16"/>
    </row>
    <row r="412" ht="14.25" customHeight="1">
      <c r="B412" s="16"/>
      <c r="C412" s="198"/>
      <c r="D412" s="36"/>
      <c r="E412" s="16"/>
      <c r="F412" s="198"/>
      <c r="G412" s="16"/>
      <c r="H412" s="16"/>
      <c r="I412" s="16"/>
      <c r="J412" s="16"/>
      <c r="K412" s="16"/>
    </row>
    <row r="413" ht="14.25" customHeight="1">
      <c r="B413" s="16"/>
      <c r="C413" s="198"/>
      <c r="D413" s="36"/>
      <c r="E413" s="16"/>
      <c r="F413" s="198"/>
      <c r="G413" s="16"/>
      <c r="H413" s="16"/>
      <c r="I413" s="16"/>
      <c r="J413" s="16"/>
      <c r="K413" s="16"/>
    </row>
    <row r="414" ht="14.25" customHeight="1">
      <c r="B414" s="16"/>
      <c r="C414" s="198"/>
      <c r="D414" s="36"/>
      <c r="E414" s="16"/>
      <c r="F414" s="198"/>
      <c r="G414" s="16"/>
      <c r="H414" s="16"/>
      <c r="I414" s="16"/>
      <c r="J414" s="16"/>
      <c r="K414" s="16"/>
    </row>
    <row r="415" ht="14.25" customHeight="1">
      <c r="B415" s="16"/>
      <c r="C415" s="198"/>
      <c r="D415" s="36"/>
      <c r="E415" s="16"/>
      <c r="F415" s="198"/>
      <c r="G415" s="16"/>
      <c r="H415" s="16"/>
      <c r="I415" s="16"/>
      <c r="J415" s="16"/>
      <c r="K415" s="16"/>
    </row>
    <row r="416" ht="14.25" customHeight="1">
      <c r="B416" s="16"/>
      <c r="C416" s="198"/>
      <c r="D416" s="36"/>
      <c r="E416" s="16"/>
      <c r="F416" s="198"/>
      <c r="G416" s="16"/>
      <c r="H416" s="16"/>
      <c r="I416" s="16"/>
      <c r="J416" s="16"/>
      <c r="K416" s="16"/>
    </row>
    <row r="417" ht="14.25" customHeight="1">
      <c r="B417" s="16"/>
      <c r="C417" s="198"/>
      <c r="D417" s="36"/>
      <c r="E417" s="16"/>
      <c r="F417" s="198"/>
      <c r="G417" s="16"/>
      <c r="H417" s="16"/>
      <c r="I417" s="16"/>
      <c r="J417" s="16"/>
      <c r="K417" s="16"/>
    </row>
    <row r="418" ht="14.25" customHeight="1">
      <c r="B418" s="16"/>
      <c r="C418" s="198"/>
      <c r="D418" s="36"/>
      <c r="E418" s="16"/>
      <c r="F418" s="198"/>
      <c r="G418" s="16"/>
      <c r="H418" s="16"/>
      <c r="I418" s="16"/>
      <c r="J418" s="16"/>
      <c r="K418" s="16"/>
    </row>
    <row r="419" ht="14.25" customHeight="1">
      <c r="B419" s="16"/>
      <c r="C419" s="198"/>
      <c r="D419" s="36"/>
      <c r="E419" s="16"/>
      <c r="F419" s="198"/>
      <c r="G419" s="16"/>
      <c r="H419" s="16"/>
      <c r="I419" s="16"/>
      <c r="J419" s="16"/>
      <c r="K419" s="16"/>
    </row>
    <row r="420" ht="14.25" customHeight="1">
      <c r="B420" s="16"/>
      <c r="C420" s="198"/>
      <c r="D420" s="36"/>
      <c r="E420" s="16"/>
      <c r="F420" s="198"/>
      <c r="G420" s="16"/>
      <c r="H420" s="16"/>
      <c r="I420" s="16"/>
      <c r="J420" s="16"/>
      <c r="K420" s="16"/>
    </row>
    <row r="421" ht="14.25" customHeight="1">
      <c r="B421" s="16"/>
      <c r="C421" s="198"/>
      <c r="D421" s="36"/>
      <c r="E421" s="16"/>
      <c r="F421" s="198"/>
      <c r="G421" s="16"/>
      <c r="H421" s="16"/>
      <c r="I421" s="16"/>
      <c r="J421" s="16"/>
      <c r="K421" s="16"/>
    </row>
    <row r="422" ht="14.25" customHeight="1">
      <c r="B422" s="16"/>
      <c r="C422" s="198"/>
      <c r="D422" s="36"/>
      <c r="E422" s="16"/>
      <c r="F422" s="198"/>
      <c r="G422" s="16"/>
      <c r="H422" s="16"/>
      <c r="I422" s="16"/>
      <c r="J422" s="16"/>
      <c r="K422" s="16"/>
    </row>
    <row r="423" ht="14.25" customHeight="1">
      <c r="B423" s="16"/>
      <c r="C423" s="198"/>
      <c r="D423" s="36"/>
      <c r="E423" s="16"/>
      <c r="F423" s="198"/>
      <c r="G423" s="16"/>
      <c r="H423" s="16"/>
      <c r="I423" s="16"/>
      <c r="J423" s="16"/>
      <c r="K423" s="16"/>
    </row>
    <row r="424" ht="14.25" customHeight="1">
      <c r="B424" s="16"/>
      <c r="C424" s="198"/>
      <c r="D424" s="36"/>
      <c r="E424" s="16"/>
      <c r="F424" s="198"/>
      <c r="G424" s="16"/>
      <c r="H424" s="16"/>
      <c r="I424" s="16"/>
      <c r="J424" s="16"/>
      <c r="K424" s="16"/>
    </row>
    <row r="425" ht="14.25" customHeight="1">
      <c r="B425" s="16"/>
      <c r="C425" s="198"/>
      <c r="D425" s="36"/>
      <c r="E425" s="16"/>
      <c r="F425" s="198"/>
      <c r="G425" s="16"/>
      <c r="H425" s="16"/>
      <c r="I425" s="16"/>
      <c r="J425" s="16"/>
      <c r="K425" s="16"/>
    </row>
    <row r="426" ht="14.25" customHeight="1">
      <c r="B426" s="16"/>
      <c r="C426" s="198"/>
      <c r="D426" s="36"/>
      <c r="E426" s="16"/>
      <c r="F426" s="198"/>
      <c r="G426" s="16"/>
      <c r="H426" s="16"/>
      <c r="I426" s="16"/>
      <c r="J426" s="16"/>
      <c r="K426" s="16"/>
    </row>
    <row r="427" ht="14.25" customHeight="1">
      <c r="B427" s="16"/>
      <c r="C427" s="198"/>
      <c r="D427" s="36"/>
      <c r="E427" s="16"/>
      <c r="F427" s="198"/>
      <c r="G427" s="16"/>
      <c r="H427" s="16"/>
      <c r="I427" s="16"/>
      <c r="J427" s="16"/>
      <c r="K427" s="16"/>
    </row>
    <row r="428" ht="14.25" customHeight="1">
      <c r="B428" s="16"/>
      <c r="C428" s="198"/>
      <c r="D428" s="36"/>
      <c r="E428" s="16"/>
      <c r="F428" s="198"/>
      <c r="G428" s="16"/>
      <c r="H428" s="16"/>
      <c r="I428" s="16"/>
      <c r="J428" s="16"/>
      <c r="K428" s="16"/>
    </row>
    <row r="429" ht="14.25" customHeight="1">
      <c r="B429" s="16"/>
      <c r="C429" s="198"/>
      <c r="D429" s="36"/>
      <c r="E429" s="16"/>
      <c r="F429" s="198"/>
      <c r="G429" s="16"/>
      <c r="H429" s="16"/>
      <c r="I429" s="16"/>
      <c r="J429" s="16"/>
      <c r="K429" s="16"/>
    </row>
    <row r="430" ht="14.25" customHeight="1">
      <c r="B430" s="16"/>
      <c r="C430" s="198"/>
      <c r="D430" s="36"/>
      <c r="E430" s="16"/>
      <c r="F430" s="198"/>
      <c r="G430" s="16"/>
      <c r="H430" s="16"/>
      <c r="I430" s="16"/>
      <c r="J430" s="16"/>
      <c r="K430" s="16"/>
    </row>
    <row r="431" ht="14.25" customHeight="1">
      <c r="B431" s="16"/>
      <c r="C431" s="198"/>
      <c r="D431" s="36"/>
      <c r="E431" s="16"/>
      <c r="F431" s="198"/>
      <c r="G431" s="16"/>
      <c r="H431" s="16"/>
      <c r="I431" s="16"/>
      <c r="J431" s="16"/>
      <c r="K431" s="16"/>
    </row>
    <row r="432" ht="14.25" customHeight="1">
      <c r="B432" s="16"/>
      <c r="C432" s="198"/>
      <c r="D432" s="36"/>
      <c r="E432" s="16"/>
      <c r="F432" s="198"/>
      <c r="G432" s="16"/>
      <c r="H432" s="16"/>
      <c r="I432" s="16"/>
      <c r="J432" s="16"/>
      <c r="K432" s="16"/>
    </row>
    <row r="433" ht="14.25" customHeight="1">
      <c r="B433" s="16"/>
      <c r="C433" s="198"/>
      <c r="D433" s="36"/>
      <c r="E433" s="16"/>
      <c r="F433" s="198"/>
      <c r="G433" s="16"/>
      <c r="H433" s="16"/>
      <c r="I433" s="16"/>
      <c r="J433" s="16"/>
      <c r="K433" s="16"/>
    </row>
    <row r="434" ht="14.25" customHeight="1">
      <c r="B434" s="16"/>
      <c r="C434" s="198"/>
      <c r="D434" s="36"/>
      <c r="E434" s="16"/>
      <c r="F434" s="198"/>
      <c r="G434" s="16"/>
      <c r="H434" s="16"/>
      <c r="I434" s="16"/>
      <c r="J434" s="16"/>
      <c r="K434" s="16"/>
    </row>
    <row r="435" ht="14.25" customHeight="1">
      <c r="B435" s="16"/>
      <c r="C435" s="198"/>
      <c r="D435" s="36"/>
      <c r="E435" s="16"/>
      <c r="F435" s="198"/>
      <c r="G435" s="16"/>
      <c r="H435" s="16"/>
      <c r="I435" s="16"/>
      <c r="J435" s="16"/>
      <c r="K435" s="16"/>
    </row>
    <row r="436" ht="14.25" customHeight="1">
      <c r="B436" s="16"/>
      <c r="C436" s="198"/>
      <c r="D436" s="36"/>
      <c r="E436" s="16"/>
      <c r="F436" s="198"/>
      <c r="G436" s="16"/>
      <c r="H436" s="16"/>
      <c r="I436" s="16"/>
      <c r="J436" s="16"/>
      <c r="K436" s="16"/>
    </row>
    <row r="437" ht="14.25" customHeight="1">
      <c r="B437" s="16"/>
      <c r="C437" s="198"/>
      <c r="D437" s="36"/>
      <c r="E437" s="16"/>
      <c r="F437" s="198"/>
      <c r="G437" s="16"/>
      <c r="H437" s="16"/>
      <c r="I437" s="16"/>
      <c r="J437" s="16"/>
      <c r="K437" s="16"/>
    </row>
    <row r="438" ht="14.25" customHeight="1">
      <c r="B438" s="16"/>
      <c r="C438" s="198"/>
      <c r="D438" s="36"/>
      <c r="E438" s="16"/>
      <c r="F438" s="198"/>
      <c r="G438" s="16"/>
      <c r="H438" s="16"/>
      <c r="I438" s="16"/>
      <c r="J438" s="16"/>
      <c r="K438" s="16"/>
    </row>
    <row r="439" ht="14.25" customHeight="1">
      <c r="B439" s="16"/>
      <c r="C439" s="198"/>
      <c r="D439" s="36"/>
      <c r="E439" s="16"/>
      <c r="F439" s="198"/>
      <c r="G439" s="16"/>
      <c r="H439" s="16"/>
      <c r="I439" s="16"/>
      <c r="J439" s="16"/>
      <c r="K439" s="16"/>
    </row>
    <row r="440" ht="14.25" customHeight="1">
      <c r="B440" s="16"/>
      <c r="C440" s="198"/>
      <c r="D440" s="36"/>
      <c r="E440" s="16"/>
      <c r="F440" s="198"/>
      <c r="G440" s="16"/>
      <c r="H440" s="16"/>
      <c r="I440" s="16"/>
      <c r="J440" s="16"/>
      <c r="K440" s="16"/>
    </row>
    <row r="441" ht="14.25" customHeight="1">
      <c r="B441" s="16"/>
      <c r="C441" s="198"/>
      <c r="D441" s="36"/>
      <c r="E441" s="16"/>
      <c r="F441" s="198"/>
      <c r="G441" s="16"/>
      <c r="H441" s="16"/>
      <c r="I441" s="16"/>
      <c r="J441" s="16"/>
      <c r="K441" s="16"/>
    </row>
    <row r="442" ht="14.25" customHeight="1">
      <c r="B442" s="16"/>
      <c r="C442" s="198"/>
      <c r="D442" s="36"/>
      <c r="E442" s="16"/>
      <c r="F442" s="198"/>
      <c r="G442" s="16"/>
      <c r="H442" s="16"/>
      <c r="I442" s="16"/>
      <c r="J442" s="16"/>
      <c r="K442" s="16"/>
    </row>
    <row r="443" ht="14.25" customHeight="1">
      <c r="B443" s="16"/>
      <c r="C443" s="198"/>
      <c r="D443" s="36"/>
      <c r="E443" s="16"/>
      <c r="F443" s="198"/>
      <c r="G443" s="16"/>
      <c r="H443" s="16"/>
      <c r="I443" s="16"/>
      <c r="J443" s="16"/>
      <c r="K443" s="16"/>
    </row>
    <row r="444" ht="14.25" customHeight="1">
      <c r="B444" s="16"/>
      <c r="C444" s="198"/>
      <c r="D444" s="36"/>
      <c r="E444" s="16"/>
      <c r="F444" s="198"/>
      <c r="G444" s="16"/>
      <c r="H444" s="16"/>
      <c r="I444" s="16"/>
      <c r="J444" s="16"/>
      <c r="K444" s="16"/>
    </row>
    <row r="445" ht="14.25" customHeight="1">
      <c r="B445" s="16"/>
      <c r="C445" s="198"/>
      <c r="D445" s="36"/>
      <c r="E445" s="16"/>
      <c r="F445" s="198"/>
      <c r="G445" s="16"/>
      <c r="H445" s="16"/>
      <c r="I445" s="16"/>
      <c r="J445" s="16"/>
      <c r="K445" s="16"/>
    </row>
    <row r="446" ht="14.25" customHeight="1">
      <c r="B446" s="16"/>
      <c r="C446" s="198"/>
      <c r="D446" s="36"/>
      <c r="E446" s="16"/>
      <c r="F446" s="198"/>
      <c r="G446" s="16"/>
      <c r="H446" s="16"/>
      <c r="I446" s="16"/>
      <c r="J446" s="16"/>
      <c r="K446" s="16"/>
    </row>
    <row r="447" ht="14.25" customHeight="1">
      <c r="B447" s="16"/>
      <c r="C447" s="198"/>
      <c r="D447" s="36"/>
      <c r="E447" s="16"/>
      <c r="F447" s="198"/>
      <c r="G447" s="16"/>
      <c r="H447" s="16"/>
      <c r="I447" s="16"/>
      <c r="J447" s="16"/>
      <c r="K447" s="16"/>
    </row>
    <row r="448" ht="14.25" customHeight="1">
      <c r="B448" s="16"/>
      <c r="C448" s="198"/>
      <c r="D448" s="36"/>
      <c r="E448" s="16"/>
      <c r="F448" s="198"/>
      <c r="G448" s="16"/>
      <c r="H448" s="16"/>
      <c r="I448" s="16"/>
      <c r="J448" s="16"/>
      <c r="K448" s="16"/>
    </row>
    <row r="449" ht="14.25" customHeight="1">
      <c r="B449" s="16"/>
      <c r="C449" s="198"/>
      <c r="D449" s="36"/>
      <c r="E449" s="16"/>
      <c r="F449" s="198"/>
      <c r="G449" s="16"/>
      <c r="H449" s="16"/>
      <c r="I449" s="16"/>
      <c r="J449" s="16"/>
      <c r="K449" s="16"/>
    </row>
    <row r="450" ht="14.25" customHeight="1">
      <c r="B450" s="16"/>
      <c r="C450" s="198"/>
      <c r="D450" s="36"/>
      <c r="E450" s="16"/>
      <c r="F450" s="198"/>
      <c r="G450" s="16"/>
      <c r="H450" s="16"/>
      <c r="I450" s="16"/>
      <c r="J450" s="16"/>
      <c r="K450" s="16"/>
    </row>
    <row r="451" ht="14.25" customHeight="1">
      <c r="B451" s="16"/>
      <c r="C451" s="198"/>
      <c r="D451" s="36"/>
      <c r="E451" s="16"/>
      <c r="F451" s="198"/>
      <c r="G451" s="16"/>
      <c r="H451" s="16"/>
      <c r="I451" s="16"/>
      <c r="J451" s="16"/>
      <c r="K451" s="16"/>
    </row>
    <row r="452" ht="14.25" customHeight="1">
      <c r="B452" s="16"/>
      <c r="C452" s="198"/>
      <c r="D452" s="36"/>
      <c r="E452" s="16"/>
      <c r="F452" s="198"/>
      <c r="G452" s="16"/>
      <c r="H452" s="16"/>
      <c r="I452" s="16"/>
      <c r="J452" s="16"/>
      <c r="K452" s="16"/>
    </row>
    <row r="453" ht="14.25" customHeight="1">
      <c r="B453" s="16"/>
      <c r="C453" s="198"/>
      <c r="D453" s="36"/>
      <c r="E453" s="16"/>
      <c r="F453" s="198"/>
      <c r="G453" s="16"/>
      <c r="H453" s="16"/>
      <c r="I453" s="16"/>
      <c r="J453" s="16"/>
      <c r="K453" s="16"/>
    </row>
    <row r="454" ht="14.25" customHeight="1">
      <c r="B454" s="16"/>
      <c r="C454" s="198"/>
      <c r="D454" s="36"/>
      <c r="E454" s="16"/>
      <c r="F454" s="198"/>
      <c r="G454" s="16"/>
      <c r="H454" s="16"/>
      <c r="I454" s="16"/>
      <c r="J454" s="16"/>
      <c r="K454" s="16"/>
    </row>
    <row r="455" ht="14.25" customHeight="1">
      <c r="B455" s="16"/>
      <c r="C455" s="198"/>
      <c r="D455" s="36"/>
      <c r="E455" s="16"/>
      <c r="F455" s="198"/>
      <c r="G455" s="16"/>
      <c r="H455" s="16"/>
      <c r="I455" s="16"/>
      <c r="J455" s="16"/>
      <c r="K455" s="16"/>
    </row>
    <row r="456" ht="14.25" customHeight="1">
      <c r="B456" s="16"/>
      <c r="C456" s="198"/>
      <c r="D456" s="36"/>
      <c r="E456" s="16"/>
      <c r="F456" s="198"/>
      <c r="G456" s="16"/>
      <c r="H456" s="16"/>
      <c r="I456" s="16"/>
      <c r="J456" s="16"/>
      <c r="K456" s="16"/>
    </row>
    <row r="457" ht="14.25" customHeight="1">
      <c r="B457" s="16"/>
      <c r="C457" s="198"/>
      <c r="D457" s="36"/>
      <c r="E457" s="16"/>
      <c r="F457" s="198"/>
      <c r="G457" s="16"/>
      <c r="H457" s="16"/>
      <c r="I457" s="16"/>
      <c r="J457" s="16"/>
      <c r="K457" s="16"/>
    </row>
    <row r="458" ht="14.25" customHeight="1">
      <c r="B458" s="16"/>
      <c r="C458" s="198"/>
      <c r="D458" s="36"/>
      <c r="E458" s="16"/>
      <c r="F458" s="198"/>
      <c r="G458" s="16"/>
      <c r="H458" s="16"/>
      <c r="I458" s="16"/>
      <c r="J458" s="16"/>
      <c r="K458" s="16"/>
    </row>
    <row r="459" ht="14.25" customHeight="1">
      <c r="B459" s="16"/>
      <c r="C459" s="198"/>
      <c r="D459" s="36"/>
      <c r="E459" s="16"/>
      <c r="F459" s="198"/>
      <c r="G459" s="16"/>
      <c r="H459" s="16"/>
      <c r="I459" s="16"/>
      <c r="J459" s="16"/>
      <c r="K459" s="16"/>
    </row>
    <row r="460" ht="14.25" customHeight="1">
      <c r="B460" s="16"/>
      <c r="C460" s="198"/>
      <c r="D460" s="36"/>
      <c r="E460" s="16"/>
      <c r="F460" s="198"/>
      <c r="G460" s="16"/>
      <c r="H460" s="16"/>
      <c r="I460" s="16"/>
      <c r="J460" s="16"/>
      <c r="K460" s="16"/>
    </row>
    <row r="461" ht="14.25" customHeight="1">
      <c r="B461" s="16"/>
      <c r="C461" s="198"/>
      <c r="D461" s="36"/>
      <c r="E461" s="16"/>
      <c r="F461" s="198"/>
      <c r="G461" s="16"/>
      <c r="H461" s="16"/>
      <c r="I461" s="16"/>
      <c r="J461" s="16"/>
      <c r="K461" s="16"/>
    </row>
    <row r="462" ht="14.25" customHeight="1">
      <c r="B462" s="16"/>
      <c r="C462" s="198"/>
      <c r="D462" s="36"/>
      <c r="E462" s="16"/>
      <c r="F462" s="198"/>
      <c r="G462" s="16"/>
      <c r="H462" s="16"/>
      <c r="I462" s="16"/>
      <c r="J462" s="16"/>
      <c r="K462" s="16"/>
    </row>
    <row r="463" ht="14.25" customHeight="1">
      <c r="B463" s="16"/>
      <c r="C463" s="198"/>
      <c r="D463" s="36"/>
      <c r="E463" s="16"/>
      <c r="F463" s="198"/>
      <c r="G463" s="16"/>
      <c r="H463" s="16"/>
      <c r="I463" s="16"/>
      <c r="J463" s="16"/>
      <c r="K463" s="16"/>
    </row>
    <row r="464" ht="14.25" customHeight="1">
      <c r="B464" s="16"/>
      <c r="C464" s="198"/>
      <c r="D464" s="36"/>
      <c r="E464" s="16"/>
      <c r="F464" s="198"/>
      <c r="G464" s="16"/>
      <c r="H464" s="16"/>
      <c r="I464" s="16"/>
      <c r="J464" s="16"/>
      <c r="K464" s="16"/>
    </row>
    <row r="465" ht="14.25" customHeight="1">
      <c r="B465" s="16"/>
      <c r="C465" s="198"/>
      <c r="D465" s="36"/>
      <c r="E465" s="16"/>
      <c r="F465" s="198"/>
      <c r="G465" s="16"/>
      <c r="H465" s="16"/>
      <c r="I465" s="16"/>
      <c r="J465" s="16"/>
      <c r="K465" s="16"/>
    </row>
    <row r="466" ht="14.25" customHeight="1">
      <c r="B466" s="16"/>
      <c r="C466" s="198"/>
      <c r="D466" s="36"/>
      <c r="E466" s="16"/>
      <c r="F466" s="198"/>
      <c r="G466" s="16"/>
      <c r="H466" s="16"/>
      <c r="I466" s="16"/>
      <c r="J466" s="16"/>
      <c r="K466" s="16"/>
    </row>
    <row r="467" ht="14.25" customHeight="1">
      <c r="B467" s="16"/>
      <c r="C467" s="198"/>
      <c r="D467" s="36"/>
      <c r="E467" s="16"/>
      <c r="F467" s="198"/>
      <c r="G467" s="16"/>
      <c r="H467" s="16"/>
      <c r="I467" s="16"/>
      <c r="J467" s="16"/>
      <c r="K467" s="16"/>
    </row>
    <row r="468" ht="14.25" customHeight="1">
      <c r="B468" s="16"/>
      <c r="C468" s="198"/>
      <c r="D468" s="36"/>
      <c r="E468" s="16"/>
      <c r="F468" s="198"/>
      <c r="G468" s="16"/>
      <c r="H468" s="16"/>
      <c r="I468" s="16"/>
      <c r="J468" s="16"/>
      <c r="K468" s="16"/>
    </row>
    <row r="469" ht="14.25" customHeight="1">
      <c r="B469" s="16"/>
      <c r="C469" s="198"/>
      <c r="D469" s="36"/>
      <c r="E469" s="16"/>
      <c r="F469" s="198"/>
      <c r="G469" s="16"/>
      <c r="H469" s="16"/>
      <c r="I469" s="16"/>
      <c r="J469" s="16"/>
      <c r="K469" s="16"/>
    </row>
    <row r="470" ht="14.25" customHeight="1">
      <c r="B470" s="16"/>
      <c r="C470" s="198"/>
      <c r="D470" s="36"/>
      <c r="E470" s="16"/>
      <c r="F470" s="198"/>
      <c r="G470" s="16"/>
      <c r="H470" s="16"/>
      <c r="I470" s="16"/>
      <c r="J470" s="16"/>
      <c r="K470" s="16"/>
    </row>
    <row r="471" ht="14.25" customHeight="1">
      <c r="B471" s="16"/>
      <c r="C471" s="198"/>
      <c r="D471" s="36"/>
      <c r="E471" s="16"/>
      <c r="F471" s="198"/>
      <c r="G471" s="16"/>
      <c r="H471" s="16"/>
      <c r="I471" s="16"/>
      <c r="J471" s="16"/>
      <c r="K471" s="16"/>
    </row>
    <row r="472" ht="14.25" customHeight="1">
      <c r="B472" s="16"/>
      <c r="C472" s="198"/>
      <c r="D472" s="36"/>
      <c r="E472" s="16"/>
      <c r="F472" s="198"/>
      <c r="G472" s="16"/>
      <c r="H472" s="16"/>
      <c r="I472" s="16"/>
      <c r="J472" s="16"/>
      <c r="K472" s="16"/>
    </row>
    <row r="473" ht="14.25" customHeight="1">
      <c r="B473" s="16"/>
      <c r="C473" s="198"/>
      <c r="D473" s="36"/>
      <c r="E473" s="16"/>
      <c r="F473" s="198"/>
      <c r="G473" s="16"/>
      <c r="H473" s="16"/>
      <c r="I473" s="16"/>
      <c r="J473" s="16"/>
      <c r="K473" s="16"/>
    </row>
    <row r="474" ht="14.25" customHeight="1">
      <c r="B474" s="16"/>
      <c r="C474" s="198"/>
      <c r="D474" s="36"/>
      <c r="E474" s="16"/>
      <c r="F474" s="198"/>
      <c r="G474" s="16"/>
      <c r="H474" s="16"/>
      <c r="I474" s="16"/>
      <c r="J474" s="16"/>
      <c r="K474" s="16"/>
    </row>
    <row r="475" ht="14.25" customHeight="1">
      <c r="B475" s="16"/>
      <c r="C475" s="198"/>
      <c r="D475" s="36"/>
      <c r="E475" s="16"/>
      <c r="F475" s="198"/>
      <c r="G475" s="16"/>
      <c r="H475" s="16"/>
      <c r="I475" s="16"/>
      <c r="J475" s="16"/>
      <c r="K475" s="16"/>
    </row>
    <row r="476" ht="14.25" customHeight="1">
      <c r="B476" s="16"/>
      <c r="C476" s="198"/>
      <c r="D476" s="36"/>
      <c r="E476" s="16"/>
      <c r="F476" s="198"/>
      <c r="G476" s="16"/>
      <c r="H476" s="16"/>
      <c r="I476" s="16"/>
      <c r="J476" s="16"/>
      <c r="K476" s="16"/>
    </row>
    <row r="477" ht="14.25" customHeight="1">
      <c r="B477" s="16"/>
      <c r="C477" s="198"/>
      <c r="D477" s="36"/>
      <c r="E477" s="16"/>
      <c r="F477" s="198"/>
      <c r="G477" s="16"/>
      <c r="H477" s="16"/>
      <c r="I477" s="16"/>
      <c r="J477" s="16"/>
      <c r="K477" s="16"/>
    </row>
    <row r="478" ht="14.25" customHeight="1">
      <c r="B478" s="16"/>
      <c r="C478" s="198"/>
      <c r="D478" s="36"/>
      <c r="E478" s="16"/>
      <c r="F478" s="198"/>
      <c r="G478" s="16"/>
      <c r="H478" s="16"/>
      <c r="I478" s="16"/>
      <c r="J478" s="16"/>
      <c r="K478" s="16"/>
    </row>
    <row r="479" ht="14.25" customHeight="1">
      <c r="B479" s="16"/>
      <c r="C479" s="198"/>
      <c r="D479" s="36"/>
      <c r="E479" s="16"/>
      <c r="F479" s="198"/>
      <c r="G479" s="16"/>
      <c r="H479" s="16"/>
      <c r="I479" s="16"/>
      <c r="J479" s="16"/>
      <c r="K479" s="16"/>
    </row>
    <row r="480" ht="14.25" customHeight="1">
      <c r="B480" s="16"/>
      <c r="C480" s="198"/>
      <c r="D480" s="36"/>
      <c r="E480" s="16"/>
      <c r="F480" s="198"/>
      <c r="G480" s="16"/>
      <c r="H480" s="16"/>
      <c r="I480" s="16"/>
      <c r="J480" s="16"/>
      <c r="K480" s="16"/>
    </row>
    <row r="481" ht="14.25" customHeight="1">
      <c r="B481" s="16"/>
      <c r="C481" s="198"/>
      <c r="D481" s="36"/>
      <c r="E481" s="16"/>
      <c r="F481" s="198"/>
      <c r="G481" s="16"/>
      <c r="H481" s="16"/>
      <c r="I481" s="16"/>
      <c r="J481" s="16"/>
      <c r="K481" s="16"/>
    </row>
    <row r="482" ht="14.25" customHeight="1">
      <c r="B482" s="16"/>
      <c r="C482" s="198"/>
      <c r="D482" s="36"/>
      <c r="E482" s="16"/>
      <c r="F482" s="198"/>
      <c r="G482" s="16"/>
      <c r="H482" s="16"/>
      <c r="I482" s="16"/>
      <c r="J482" s="16"/>
      <c r="K482" s="16"/>
    </row>
    <row r="483" ht="14.25" customHeight="1">
      <c r="B483" s="16"/>
      <c r="C483" s="198"/>
      <c r="D483" s="36"/>
      <c r="E483" s="16"/>
      <c r="F483" s="198"/>
      <c r="G483" s="16"/>
      <c r="H483" s="16"/>
      <c r="I483" s="16"/>
      <c r="J483" s="16"/>
      <c r="K483" s="16"/>
    </row>
    <row r="484" ht="14.25" customHeight="1">
      <c r="B484" s="16"/>
      <c r="C484" s="198"/>
      <c r="D484" s="36"/>
      <c r="E484" s="16"/>
      <c r="F484" s="198"/>
      <c r="G484" s="16"/>
      <c r="H484" s="16"/>
      <c r="I484" s="16"/>
      <c r="J484" s="16"/>
      <c r="K484" s="16"/>
    </row>
    <row r="485" ht="14.25" customHeight="1">
      <c r="B485" s="16"/>
      <c r="C485" s="198"/>
      <c r="D485" s="36"/>
      <c r="E485" s="16"/>
      <c r="F485" s="198"/>
      <c r="G485" s="16"/>
      <c r="H485" s="16"/>
      <c r="I485" s="16"/>
      <c r="J485" s="16"/>
      <c r="K485" s="16"/>
    </row>
    <row r="486" ht="14.25" customHeight="1">
      <c r="B486" s="16"/>
      <c r="C486" s="198"/>
      <c r="D486" s="36"/>
      <c r="E486" s="16"/>
      <c r="F486" s="198"/>
      <c r="G486" s="16"/>
      <c r="H486" s="16"/>
      <c r="I486" s="16"/>
      <c r="J486" s="16"/>
      <c r="K486" s="16"/>
    </row>
    <row r="487" ht="14.25" customHeight="1">
      <c r="B487" s="16"/>
      <c r="C487" s="198"/>
      <c r="D487" s="36"/>
      <c r="E487" s="16"/>
      <c r="F487" s="198"/>
      <c r="G487" s="16"/>
      <c r="H487" s="16"/>
      <c r="I487" s="16"/>
      <c r="J487" s="16"/>
      <c r="K487" s="16"/>
    </row>
    <row r="488" ht="14.25" customHeight="1">
      <c r="B488" s="16"/>
      <c r="C488" s="198"/>
      <c r="D488" s="36"/>
      <c r="E488" s="16"/>
      <c r="F488" s="198"/>
      <c r="G488" s="16"/>
      <c r="H488" s="16"/>
      <c r="I488" s="16"/>
      <c r="J488" s="16"/>
      <c r="K488" s="16"/>
    </row>
    <row r="489" ht="14.25" customHeight="1">
      <c r="B489" s="16"/>
      <c r="C489" s="198"/>
      <c r="D489" s="36"/>
      <c r="E489" s="16"/>
      <c r="F489" s="198"/>
      <c r="G489" s="16"/>
      <c r="H489" s="16"/>
      <c r="I489" s="16"/>
      <c r="J489" s="16"/>
      <c r="K489" s="16"/>
    </row>
    <row r="490" ht="14.25" customHeight="1">
      <c r="B490" s="16"/>
      <c r="C490" s="198"/>
      <c r="D490" s="36"/>
      <c r="E490" s="16"/>
      <c r="F490" s="198"/>
      <c r="G490" s="16"/>
      <c r="H490" s="16"/>
      <c r="I490" s="16"/>
      <c r="J490" s="16"/>
      <c r="K490" s="16"/>
    </row>
    <row r="491" ht="14.25" customHeight="1">
      <c r="B491" s="16"/>
      <c r="C491" s="198"/>
      <c r="D491" s="36"/>
      <c r="E491" s="16"/>
      <c r="F491" s="198"/>
      <c r="G491" s="16"/>
      <c r="H491" s="16"/>
      <c r="I491" s="16"/>
      <c r="J491" s="16"/>
      <c r="K491" s="16"/>
    </row>
    <row r="492" ht="14.25" customHeight="1">
      <c r="B492" s="16"/>
      <c r="C492" s="198"/>
      <c r="D492" s="36"/>
      <c r="E492" s="16"/>
      <c r="F492" s="198"/>
      <c r="G492" s="16"/>
      <c r="H492" s="16"/>
      <c r="I492" s="16"/>
      <c r="J492" s="16"/>
      <c r="K492" s="16"/>
    </row>
    <row r="493" ht="14.25" customHeight="1">
      <c r="B493" s="16"/>
      <c r="C493" s="198"/>
      <c r="D493" s="36"/>
      <c r="E493" s="16"/>
      <c r="F493" s="198"/>
      <c r="G493" s="16"/>
      <c r="H493" s="16"/>
      <c r="I493" s="16"/>
      <c r="J493" s="16"/>
      <c r="K493" s="16"/>
    </row>
    <row r="494" ht="14.25" customHeight="1">
      <c r="B494" s="16"/>
      <c r="C494" s="198"/>
      <c r="D494" s="36"/>
      <c r="E494" s="16"/>
      <c r="F494" s="198"/>
      <c r="G494" s="16"/>
      <c r="H494" s="16"/>
      <c r="I494" s="16"/>
      <c r="J494" s="16"/>
      <c r="K494" s="16"/>
    </row>
    <row r="495" ht="14.25" customHeight="1">
      <c r="B495" s="16"/>
      <c r="C495" s="198"/>
      <c r="D495" s="36"/>
      <c r="E495" s="16"/>
      <c r="F495" s="198"/>
      <c r="G495" s="16"/>
      <c r="H495" s="16"/>
      <c r="I495" s="16"/>
      <c r="J495" s="16"/>
      <c r="K495" s="16"/>
    </row>
    <row r="496" ht="14.25" customHeight="1">
      <c r="B496" s="16"/>
      <c r="C496" s="198"/>
      <c r="D496" s="36"/>
      <c r="E496" s="16"/>
      <c r="F496" s="198"/>
      <c r="G496" s="16"/>
      <c r="H496" s="16"/>
      <c r="I496" s="16"/>
      <c r="J496" s="16"/>
      <c r="K496" s="16"/>
    </row>
    <row r="497" ht="14.25" customHeight="1">
      <c r="B497" s="16"/>
      <c r="C497" s="198"/>
      <c r="D497" s="36"/>
      <c r="E497" s="16"/>
      <c r="F497" s="198"/>
      <c r="G497" s="16"/>
      <c r="H497" s="16"/>
      <c r="I497" s="16"/>
      <c r="J497" s="16"/>
      <c r="K497" s="16"/>
    </row>
    <row r="498" ht="14.25" customHeight="1">
      <c r="B498" s="16"/>
      <c r="C498" s="198"/>
      <c r="D498" s="36"/>
      <c r="E498" s="16"/>
      <c r="F498" s="198"/>
      <c r="G498" s="16"/>
      <c r="H498" s="16"/>
      <c r="I498" s="16"/>
      <c r="J498" s="16"/>
      <c r="K498" s="16"/>
    </row>
    <row r="499" ht="14.25" customHeight="1">
      <c r="B499" s="16"/>
      <c r="C499" s="198"/>
      <c r="D499" s="36"/>
      <c r="E499" s="16"/>
      <c r="F499" s="198"/>
      <c r="G499" s="16"/>
      <c r="H499" s="16"/>
      <c r="I499" s="16"/>
      <c r="J499" s="16"/>
      <c r="K499" s="16"/>
    </row>
    <row r="500" ht="14.25" customHeight="1">
      <c r="B500" s="16"/>
      <c r="C500" s="198"/>
      <c r="D500" s="36"/>
      <c r="E500" s="16"/>
      <c r="F500" s="198"/>
      <c r="G500" s="16"/>
      <c r="H500" s="16"/>
      <c r="I500" s="16"/>
      <c r="J500" s="16"/>
      <c r="K500" s="16"/>
    </row>
    <row r="501" ht="14.25" customHeight="1">
      <c r="B501" s="16"/>
      <c r="C501" s="198"/>
      <c r="D501" s="36"/>
      <c r="E501" s="16"/>
      <c r="F501" s="198"/>
      <c r="G501" s="16"/>
      <c r="H501" s="16"/>
      <c r="I501" s="16"/>
      <c r="J501" s="16"/>
      <c r="K501" s="16"/>
    </row>
    <row r="502" ht="14.25" customHeight="1">
      <c r="B502" s="16"/>
      <c r="C502" s="198"/>
      <c r="D502" s="36"/>
      <c r="E502" s="16"/>
      <c r="F502" s="198"/>
      <c r="G502" s="16"/>
      <c r="H502" s="16"/>
      <c r="I502" s="16"/>
      <c r="J502" s="16"/>
      <c r="K502" s="16"/>
    </row>
    <row r="503" ht="14.25" customHeight="1">
      <c r="B503" s="16"/>
      <c r="C503" s="198"/>
      <c r="D503" s="36"/>
      <c r="E503" s="16"/>
      <c r="F503" s="198"/>
      <c r="G503" s="16"/>
      <c r="H503" s="16"/>
      <c r="I503" s="16"/>
      <c r="J503" s="16"/>
      <c r="K503" s="16"/>
    </row>
    <row r="504" ht="14.25" customHeight="1">
      <c r="B504" s="16"/>
      <c r="C504" s="198"/>
      <c r="D504" s="36"/>
      <c r="E504" s="16"/>
      <c r="F504" s="198"/>
      <c r="G504" s="16"/>
      <c r="H504" s="16"/>
      <c r="I504" s="16"/>
      <c r="J504" s="16"/>
      <c r="K504" s="16"/>
    </row>
    <row r="505" ht="14.25" customHeight="1">
      <c r="B505" s="16"/>
      <c r="C505" s="198"/>
      <c r="D505" s="36"/>
      <c r="E505" s="16"/>
      <c r="F505" s="198"/>
      <c r="G505" s="16"/>
      <c r="H505" s="16"/>
      <c r="I505" s="16"/>
      <c r="J505" s="16"/>
      <c r="K505" s="16"/>
    </row>
    <row r="506" ht="14.25" customHeight="1">
      <c r="B506" s="16"/>
      <c r="C506" s="198"/>
      <c r="D506" s="36"/>
      <c r="E506" s="16"/>
      <c r="F506" s="198"/>
      <c r="G506" s="16"/>
      <c r="H506" s="16"/>
      <c r="I506" s="16"/>
      <c r="J506" s="16"/>
      <c r="K506" s="16"/>
    </row>
    <row r="507" ht="14.25" customHeight="1">
      <c r="B507" s="16"/>
      <c r="C507" s="198"/>
      <c r="D507" s="36"/>
      <c r="E507" s="16"/>
      <c r="F507" s="198"/>
      <c r="G507" s="16"/>
      <c r="H507" s="16"/>
      <c r="I507" s="16"/>
      <c r="J507" s="16"/>
      <c r="K507" s="16"/>
    </row>
    <row r="508" ht="14.25" customHeight="1">
      <c r="B508" s="16"/>
      <c r="C508" s="198"/>
      <c r="D508" s="36"/>
      <c r="E508" s="16"/>
      <c r="F508" s="198"/>
      <c r="G508" s="16"/>
      <c r="H508" s="16"/>
      <c r="I508" s="16"/>
      <c r="J508" s="16"/>
      <c r="K508" s="16"/>
    </row>
    <row r="509" ht="14.25" customHeight="1">
      <c r="B509" s="16"/>
      <c r="C509" s="198"/>
      <c r="D509" s="36"/>
      <c r="E509" s="16"/>
      <c r="F509" s="198"/>
      <c r="G509" s="16"/>
      <c r="H509" s="16"/>
      <c r="I509" s="16"/>
      <c r="J509" s="16"/>
      <c r="K509" s="16"/>
    </row>
    <row r="510" ht="14.25" customHeight="1">
      <c r="B510" s="16"/>
      <c r="C510" s="198"/>
      <c r="D510" s="36"/>
      <c r="E510" s="16"/>
      <c r="F510" s="198"/>
      <c r="G510" s="16"/>
      <c r="H510" s="16"/>
      <c r="I510" s="16"/>
      <c r="J510" s="16"/>
      <c r="K510" s="16"/>
    </row>
    <row r="511" ht="14.25" customHeight="1">
      <c r="B511" s="16"/>
      <c r="C511" s="198"/>
      <c r="D511" s="36"/>
      <c r="E511" s="16"/>
      <c r="F511" s="198"/>
      <c r="G511" s="16"/>
      <c r="H511" s="16"/>
      <c r="I511" s="16"/>
      <c r="J511" s="16"/>
      <c r="K511" s="16"/>
    </row>
    <row r="512" ht="14.25" customHeight="1">
      <c r="B512" s="16"/>
      <c r="C512" s="198"/>
      <c r="D512" s="36"/>
      <c r="E512" s="16"/>
      <c r="F512" s="198"/>
      <c r="G512" s="16"/>
      <c r="H512" s="16"/>
      <c r="I512" s="16"/>
      <c r="J512" s="16"/>
      <c r="K512" s="16"/>
    </row>
    <row r="513" ht="14.25" customHeight="1">
      <c r="B513" s="16"/>
      <c r="C513" s="198"/>
      <c r="D513" s="36"/>
      <c r="E513" s="16"/>
      <c r="F513" s="198"/>
      <c r="G513" s="16"/>
      <c r="H513" s="16"/>
      <c r="I513" s="16"/>
      <c r="J513" s="16"/>
      <c r="K513" s="16"/>
    </row>
    <row r="514" ht="14.25" customHeight="1">
      <c r="B514" s="16"/>
      <c r="C514" s="198"/>
      <c r="D514" s="36"/>
      <c r="E514" s="16"/>
      <c r="F514" s="198"/>
      <c r="G514" s="16"/>
      <c r="H514" s="16"/>
      <c r="I514" s="16"/>
      <c r="J514" s="16"/>
      <c r="K514" s="16"/>
    </row>
    <row r="515" ht="14.25" customHeight="1">
      <c r="B515" s="16"/>
      <c r="C515" s="198"/>
      <c r="D515" s="36"/>
      <c r="E515" s="16"/>
      <c r="F515" s="198"/>
      <c r="G515" s="16"/>
      <c r="H515" s="16"/>
      <c r="I515" s="16"/>
      <c r="J515" s="16"/>
      <c r="K515" s="16"/>
    </row>
    <row r="516" ht="14.25" customHeight="1">
      <c r="B516" s="16"/>
      <c r="C516" s="198"/>
      <c r="D516" s="36"/>
      <c r="E516" s="16"/>
      <c r="F516" s="198"/>
      <c r="G516" s="16"/>
      <c r="H516" s="16"/>
      <c r="I516" s="16"/>
      <c r="J516" s="16"/>
      <c r="K516" s="16"/>
    </row>
    <row r="517" ht="14.25" customHeight="1">
      <c r="B517" s="16"/>
      <c r="C517" s="198"/>
      <c r="D517" s="36"/>
      <c r="E517" s="16"/>
      <c r="F517" s="198"/>
      <c r="G517" s="16"/>
      <c r="H517" s="16"/>
      <c r="I517" s="16"/>
      <c r="J517" s="16"/>
      <c r="K517" s="16"/>
    </row>
    <row r="518" ht="14.25" customHeight="1">
      <c r="B518" s="16"/>
      <c r="C518" s="198"/>
      <c r="D518" s="36"/>
      <c r="E518" s="16"/>
      <c r="F518" s="198"/>
      <c r="G518" s="16"/>
      <c r="H518" s="16"/>
      <c r="I518" s="16"/>
      <c r="J518" s="16"/>
      <c r="K518" s="16"/>
    </row>
    <row r="519" ht="14.25" customHeight="1">
      <c r="B519" s="16"/>
      <c r="C519" s="198"/>
      <c r="D519" s="36"/>
      <c r="E519" s="16"/>
      <c r="F519" s="198"/>
      <c r="G519" s="16"/>
      <c r="H519" s="16"/>
      <c r="I519" s="16"/>
      <c r="J519" s="16"/>
      <c r="K519" s="16"/>
    </row>
    <row r="520" ht="14.25" customHeight="1">
      <c r="B520" s="16"/>
      <c r="C520" s="198"/>
      <c r="D520" s="36"/>
      <c r="E520" s="16"/>
      <c r="F520" s="198"/>
      <c r="G520" s="16"/>
      <c r="H520" s="16"/>
      <c r="I520" s="16"/>
      <c r="J520" s="16"/>
      <c r="K520" s="16"/>
    </row>
    <row r="521" ht="14.25" customHeight="1">
      <c r="B521" s="16"/>
      <c r="C521" s="198"/>
      <c r="D521" s="36"/>
      <c r="E521" s="16"/>
      <c r="F521" s="198"/>
      <c r="G521" s="16"/>
      <c r="H521" s="16"/>
      <c r="I521" s="16"/>
      <c r="J521" s="16"/>
      <c r="K521" s="16"/>
    </row>
    <row r="522" ht="14.25" customHeight="1">
      <c r="B522" s="16"/>
      <c r="C522" s="198"/>
      <c r="D522" s="36"/>
      <c r="E522" s="16"/>
      <c r="F522" s="198"/>
      <c r="G522" s="16"/>
      <c r="H522" s="16"/>
      <c r="I522" s="16"/>
      <c r="J522" s="16"/>
      <c r="K522" s="16"/>
    </row>
    <row r="523" ht="14.25" customHeight="1">
      <c r="B523" s="16"/>
      <c r="C523" s="198"/>
      <c r="D523" s="36"/>
      <c r="E523" s="16"/>
      <c r="F523" s="198"/>
      <c r="G523" s="16"/>
      <c r="H523" s="16"/>
      <c r="I523" s="16"/>
      <c r="J523" s="16"/>
      <c r="K523" s="16"/>
    </row>
    <row r="524" ht="14.25" customHeight="1">
      <c r="B524" s="16"/>
      <c r="C524" s="198"/>
      <c r="D524" s="36"/>
      <c r="E524" s="16"/>
      <c r="F524" s="198"/>
      <c r="G524" s="16"/>
      <c r="H524" s="16"/>
      <c r="I524" s="16"/>
      <c r="J524" s="16"/>
      <c r="K524" s="16"/>
    </row>
    <row r="525" ht="14.25" customHeight="1">
      <c r="B525" s="16"/>
      <c r="C525" s="198"/>
      <c r="D525" s="36"/>
      <c r="E525" s="16"/>
      <c r="F525" s="198"/>
      <c r="G525" s="16"/>
      <c r="H525" s="16"/>
      <c r="I525" s="16"/>
      <c r="J525" s="16"/>
      <c r="K525" s="16"/>
    </row>
    <row r="526" ht="14.25" customHeight="1">
      <c r="B526" s="16"/>
      <c r="C526" s="198"/>
      <c r="D526" s="36"/>
      <c r="E526" s="16"/>
      <c r="F526" s="198"/>
      <c r="G526" s="16"/>
      <c r="H526" s="16"/>
      <c r="I526" s="16"/>
      <c r="J526" s="16"/>
      <c r="K526" s="16"/>
    </row>
    <row r="527" ht="14.25" customHeight="1">
      <c r="B527" s="16"/>
      <c r="C527" s="198"/>
      <c r="D527" s="36"/>
      <c r="E527" s="16"/>
      <c r="F527" s="198"/>
      <c r="G527" s="16"/>
      <c r="H527" s="16"/>
      <c r="I527" s="16"/>
      <c r="J527" s="16"/>
      <c r="K527" s="16"/>
    </row>
    <row r="528" ht="14.25" customHeight="1">
      <c r="B528" s="16"/>
      <c r="C528" s="198"/>
      <c r="D528" s="36"/>
      <c r="E528" s="16"/>
      <c r="F528" s="198"/>
      <c r="G528" s="16"/>
      <c r="H528" s="16"/>
      <c r="I528" s="16"/>
      <c r="J528" s="16"/>
      <c r="K528" s="16"/>
    </row>
    <row r="529" ht="14.25" customHeight="1">
      <c r="B529" s="16"/>
      <c r="C529" s="198"/>
      <c r="D529" s="36"/>
      <c r="E529" s="16"/>
      <c r="F529" s="198"/>
      <c r="G529" s="16"/>
      <c r="H529" s="16"/>
      <c r="I529" s="16"/>
      <c r="J529" s="16"/>
      <c r="K529" s="16"/>
    </row>
    <row r="530" ht="14.25" customHeight="1">
      <c r="B530" s="16"/>
      <c r="C530" s="198"/>
      <c r="D530" s="36"/>
      <c r="E530" s="16"/>
      <c r="F530" s="198"/>
      <c r="G530" s="16"/>
      <c r="H530" s="16"/>
      <c r="I530" s="16"/>
      <c r="J530" s="16"/>
      <c r="K530" s="16"/>
    </row>
    <row r="531" ht="14.25" customHeight="1">
      <c r="B531" s="16"/>
      <c r="C531" s="198"/>
      <c r="D531" s="36"/>
      <c r="E531" s="16"/>
      <c r="F531" s="198"/>
      <c r="G531" s="16"/>
      <c r="H531" s="16"/>
      <c r="I531" s="16"/>
      <c r="J531" s="16"/>
      <c r="K531" s="16"/>
    </row>
    <row r="532" ht="14.25" customHeight="1">
      <c r="B532" s="16"/>
      <c r="C532" s="198"/>
      <c r="D532" s="36"/>
      <c r="E532" s="16"/>
      <c r="F532" s="198"/>
      <c r="G532" s="16"/>
      <c r="H532" s="16"/>
      <c r="I532" s="16"/>
      <c r="J532" s="16"/>
      <c r="K532" s="16"/>
    </row>
    <row r="533" ht="14.25" customHeight="1">
      <c r="B533" s="16"/>
      <c r="C533" s="198"/>
      <c r="D533" s="36"/>
      <c r="E533" s="16"/>
      <c r="F533" s="198"/>
      <c r="G533" s="16"/>
      <c r="H533" s="16"/>
      <c r="I533" s="16"/>
      <c r="J533" s="16"/>
      <c r="K533" s="16"/>
    </row>
    <row r="534" ht="14.25" customHeight="1">
      <c r="B534" s="16"/>
      <c r="C534" s="198"/>
      <c r="D534" s="36"/>
      <c r="E534" s="16"/>
      <c r="F534" s="198"/>
      <c r="G534" s="16"/>
      <c r="H534" s="16"/>
      <c r="I534" s="16"/>
      <c r="J534" s="16"/>
      <c r="K534" s="16"/>
    </row>
    <row r="535" ht="14.25" customHeight="1">
      <c r="B535" s="16"/>
      <c r="C535" s="198"/>
      <c r="D535" s="36"/>
      <c r="E535" s="16"/>
      <c r="F535" s="198"/>
      <c r="G535" s="16"/>
      <c r="H535" s="16"/>
      <c r="I535" s="16"/>
      <c r="J535" s="16"/>
      <c r="K535" s="16"/>
    </row>
    <row r="536" ht="14.25" customHeight="1">
      <c r="B536" s="16"/>
      <c r="C536" s="198"/>
      <c r="D536" s="36"/>
      <c r="E536" s="16"/>
      <c r="F536" s="198"/>
      <c r="G536" s="16"/>
      <c r="H536" s="16"/>
      <c r="I536" s="16"/>
      <c r="J536" s="16"/>
      <c r="K536" s="16"/>
    </row>
    <row r="537" ht="14.25" customHeight="1">
      <c r="B537" s="16"/>
      <c r="C537" s="198"/>
      <c r="D537" s="36"/>
      <c r="E537" s="16"/>
      <c r="F537" s="198"/>
      <c r="G537" s="16"/>
      <c r="H537" s="16"/>
      <c r="I537" s="16"/>
      <c r="J537" s="16"/>
      <c r="K537" s="16"/>
    </row>
    <row r="538" ht="14.25" customHeight="1">
      <c r="B538" s="16"/>
      <c r="C538" s="198"/>
      <c r="D538" s="36"/>
      <c r="E538" s="16"/>
      <c r="F538" s="198"/>
      <c r="G538" s="16"/>
      <c r="H538" s="16"/>
      <c r="I538" s="16"/>
      <c r="J538" s="16"/>
      <c r="K538" s="16"/>
    </row>
    <row r="539" ht="14.25" customHeight="1">
      <c r="B539" s="16"/>
      <c r="C539" s="198"/>
      <c r="D539" s="36"/>
      <c r="E539" s="16"/>
      <c r="F539" s="198"/>
      <c r="G539" s="16"/>
      <c r="H539" s="16"/>
      <c r="I539" s="16"/>
      <c r="J539" s="16"/>
      <c r="K539" s="16"/>
    </row>
    <row r="540" ht="14.25" customHeight="1">
      <c r="B540" s="16"/>
      <c r="C540" s="198"/>
      <c r="D540" s="36"/>
      <c r="E540" s="16"/>
      <c r="F540" s="198"/>
      <c r="G540" s="16"/>
      <c r="H540" s="16"/>
      <c r="I540" s="16"/>
      <c r="J540" s="16"/>
      <c r="K540" s="16"/>
    </row>
    <row r="541" ht="14.25" customHeight="1">
      <c r="B541" s="16"/>
      <c r="C541" s="198"/>
      <c r="D541" s="36"/>
      <c r="E541" s="16"/>
      <c r="F541" s="198"/>
      <c r="G541" s="16"/>
      <c r="H541" s="16"/>
      <c r="I541" s="16"/>
      <c r="J541" s="16"/>
      <c r="K541" s="16"/>
    </row>
    <row r="542" ht="14.25" customHeight="1">
      <c r="B542" s="16"/>
      <c r="C542" s="198"/>
      <c r="D542" s="36"/>
      <c r="E542" s="16"/>
      <c r="F542" s="198"/>
      <c r="G542" s="16"/>
      <c r="H542" s="16"/>
      <c r="I542" s="16"/>
      <c r="J542" s="16"/>
      <c r="K542" s="16"/>
    </row>
    <row r="543" ht="14.25" customHeight="1">
      <c r="B543" s="16"/>
      <c r="C543" s="198"/>
      <c r="D543" s="36"/>
      <c r="E543" s="16"/>
      <c r="F543" s="198"/>
      <c r="G543" s="16"/>
      <c r="H543" s="16"/>
      <c r="I543" s="16"/>
      <c r="J543" s="16"/>
      <c r="K543" s="16"/>
    </row>
    <row r="544" ht="14.25" customHeight="1">
      <c r="B544" s="16"/>
      <c r="C544" s="198"/>
      <c r="D544" s="36"/>
      <c r="E544" s="16"/>
      <c r="F544" s="198"/>
      <c r="G544" s="16"/>
      <c r="H544" s="16"/>
      <c r="I544" s="16"/>
      <c r="J544" s="16"/>
      <c r="K544" s="16"/>
    </row>
    <row r="545" ht="14.25" customHeight="1">
      <c r="B545" s="16"/>
      <c r="C545" s="198"/>
      <c r="D545" s="36"/>
      <c r="E545" s="16"/>
      <c r="F545" s="198"/>
      <c r="G545" s="16"/>
      <c r="H545" s="16"/>
      <c r="I545" s="16"/>
      <c r="J545" s="16"/>
      <c r="K545" s="16"/>
    </row>
    <row r="546" ht="14.25" customHeight="1">
      <c r="B546" s="16"/>
      <c r="C546" s="198"/>
      <c r="D546" s="36"/>
      <c r="E546" s="16"/>
      <c r="F546" s="198"/>
      <c r="G546" s="16"/>
      <c r="H546" s="16"/>
      <c r="I546" s="16"/>
      <c r="J546" s="16"/>
      <c r="K546" s="16"/>
    </row>
    <row r="547" ht="14.25" customHeight="1">
      <c r="B547" s="16"/>
      <c r="C547" s="198"/>
      <c r="D547" s="36"/>
      <c r="E547" s="16"/>
      <c r="F547" s="198"/>
      <c r="G547" s="16"/>
      <c r="H547" s="16"/>
      <c r="I547" s="16"/>
      <c r="J547" s="16"/>
      <c r="K547" s="16"/>
    </row>
    <row r="548" ht="14.25" customHeight="1">
      <c r="B548" s="16"/>
      <c r="C548" s="198"/>
      <c r="D548" s="36"/>
      <c r="E548" s="16"/>
      <c r="F548" s="198"/>
      <c r="G548" s="16"/>
      <c r="H548" s="16"/>
      <c r="I548" s="16"/>
      <c r="J548" s="16"/>
      <c r="K548" s="16"/>
    </row>
    <row r="549" ht="14.25" customHeight="1">
      <c r="B549" s="16"/>
      <c r="C549" s="198"/>
      <c r="D549" s="36"/>
      <c r="E549" s="16"/>
      <c r="F549" s="198"/>
      <c r="G549" s="16"/>
      <c r="H549" s="16"/>
      <c r="I549" s="16"/>
      <c r="J549" s="16"/>
      <c r="K549" s="16"/>
    </row>
    <row r="550" ht="14.25" customHeight="1">
      <c r="B550" s="16"/>
      <c r="C550" s="198"/>
      <c r="D550" s="36"/>
      <c r="E550" s="16"/>
      <c r="F550" s="198"/>
      <c r="G550" s="16"/>
      <c r="H550" s="16"/>
      <c r="I550" s="16"/>
      <c r="J550" s="16"/>
      <c r="K550" s="16"/>
    </row>
    <row r="551" ht="14.25" customHeight="1">
      <c r="B551" s="16"/>
      <c r="C551" s="198"/>
      <c r="D551" s="36"/>
      <c r="E551" s="16"/>
      <c r="F551" s="198"/>
      <c r="G551" s="16"/>
      <c r="H551" s="16"/>
      <c r="I551" s="16"/>
      <c r="J551" s="16"/>
      <c r="K551" s="16"/>
    </row>
    <row r="552" ht="14.25" customHeight="1">
      <c r="B552" s="16"/>
      <c r="C552" s="198"/>
      <c r="D552" s="36"/>
      <c r="E552" s="16"/>
      <c r="F552" s="198"/>
      <c r="G552" s="16"/>
      <c r="H552" s="16"/>
      <c r="I552" s="16"/>
      <c r="J552" s="16"/>
      <c r="K552" s="16"/>
    </row>
    <row r="553" ht="14.25" customHeight="1">
      <c r="B553" s="16"/>
      <c r="C553" s="198"/>
      <c r="D553" s="36"/>
      <c r="E553" s="16"/>
      <c r="F553" s="198"/>
      <c r="G553" s="16"/>
      <c r="H553" s="16"/>
      <c r="I553" s="16"/>
      <c r="J553" s="16"/>
      <c r="K553" s="16"/>
    </row>
    <row r="554" ht="14.25" customHeight="1">
      <c r="B554" s="16"/>
      <c r="C554" s="198"/>
      <c r="D554" s="36"/>
      <c r="E554" s="16"/>
      <c r="F554" s="198"/>
      <c r="G554" s="16"/>
      <c r="H554" s="16"/>
      <c r="I554" s="16"/>
      <c r="J554" s="16"/>
      <c r="K554" s="16"/>
    </row>
    <row r="555" ht="14.25" customHeight="1">
      <c r="B555" s="16"/>
      <c r="C555" s="198"/>
      <c r="D555" s="36"/>
      <c r="E555" s="16"/>
      <c r="F555" s="198"/>
      <c r="G555" s="16"/>
      <c r="H555" s="16"/>
      <c r="I555" s="16"/>
      <c r="J555" s="16"/>
      <c r="K555" s="16"/>
    </row>
    <row r="556" ht="14.25" customHeight="1">
      <c r="B556" s="16"/>
      <c r="C556" s="198"/>
      <c r="D556" s="36"/>
      <c r="E556" s="16"/>
      <c r="F556" s="198"/>
      <c r="G556" s="16"/>
      <c r="H556" s="16"/>
      <c r="I556" s="16"/>
      <c r="J556" s="16"/>
      <c r="K556" s="16"/>
    </row>
    <row r="557" ht="14.25" customHeight="1">
      <c r="B557" s="16"/>
      <c r="C557" s="198"/>
      <c r="D557" s="36"/>
      <c r="E557" s="16"/>
      <c r="F557" s="198"/>
      <c r="G557" s="16"/>
      <c r="H557" s="16"/>
      <c r="I557" s="16"/>
      <c r="J557" s="16"/>
      <c r="K557" s="16"/>
    </row>
    <row r="558" ht="14.25" customHeight="1">
      <c r="B558" s="16"/>
      <c r="C558" s="198"/>
      <c r="D558" s="36"/>
      <c r="E558" s="16"/>
      <c r="F558" s="198"/>
      <c r="G558" s="16"/>
      <c r="H558" s="16"/>
      <c r="I558" s="16"/>
      <c r="J558" s="16"/>
      <c r="K558" s="16"/>
    </row>
    <row r="559" ht="14.25" customHeight="1">
      <c r="B559" s="16"/>
      <c r="C559" s="198"/>
      <c r="D559" s="36"/>
      <c r="E559" s="16"/>
      <c r="F559" s="198"/>
      <c r="G559" s="16"/>
      <c r="H559" s="16"/>
      <c r="I559" s="16"/>
      <c r="J559" s="16"/>
      <c r="K559" s="16"/>
    </row>
    <row r="560" ht="14.25" customHeight="1">
      <c r="B560" s="16"/>
      <c r="C560" s="198"/>
      <c r="D560" s="36"/>
      <c r="E560" s="16"/>
      <c r="F560" s="198"/>
      <c r="G560" s="16"/>
      <c r="H560" s="16"/>
      <c r="I560" s="16"/>
      <c r="J560" s="16"/>
      <c r="K560" s="16"/>
    </row>
    <row r="561" ht="14.25" customHeight="1">
      <c r="B561" s="16"/>
      <c r="C561" s="198"/>
      <c r="D561" s="36"/>
      <c r="E561" s="16"/>
      <c r="F561" s="198"/>
      <c r="G561" s="16"/>
      <c r="H561" s="16"/>
      <c r="I561" s="16"/>
      <c r="J561" s="16"/>
      <c r="K561" s="16"/>
    </row>
    <row r="562" ht="14.25" customHeight="1">
      <c r="B562" s="16"/>
      <c r="C562" s="198"/>
      <c r="D562" s="36"/>
      <c r="E562" s="16"/>
      <c r="F562" s="198"/>
      <c r="G562" s="16"/>
      <c r="H562" s="16"/>
      <c r="I562" s="16"/>
      <c r="J562" s="16"/>
      <c r="K562" s="16"/>
    </row>
    <row r="563" ht="14.25" customHeight="1">
      <c r="B563" s="16"/>
      <c r="C563" s="198"/>
      <c r="D563" s="36"/>
      <c r="E563" s="16"/>
      <c r="F563" s="198"/>
      <c r="G563" s="16"/>
      <c r="H563" s="16"/>
      <c r="I563" s="16"/>
      <c r="J563" s="16"/>
      <c r="K563" s="16"/>
    </row>
    <row r="564" ht="14.25" customHeight="1">
      <c r="B564" s="16"/>
      <c r="C564" s="198"/>
      <c r="D564" s="36"/>
      <c r="E564" s="16"/>
      <c r="F564" s="198"/>
      <c r="G564" s="16"/>
      <c r="H564" s="16"/>
      <c r="I564" s="16"/>
      <c r="J564" s="16"/>
      <c r="K564" s="16"/>
    </row>
    <row r="565" ht="14.25" customHeight="1">
      <c r="B565" s="16"/>
      <c r="C565" s="198"/>
      <c r="D565" s="36"/>
      <c r="E565" s="16"/>
      <c r="F565" s="198"/>
      <c r="G565" s="16"/>
      <c r="H565" s="16"/>
      <c r="I565" s="16"/>
      <c r="J565" s="16"/>
      <c r="K565" s="16"/>
    </row>
    <row r="566" ht="14.25" customHeight="1">
      <c r="B566" s="16"/>
      <c r="C566" s="198"/>
      <c r="D566" s="36"/>
      <c r="E566" s="16"/>
      <c r="F566" s="198"/>
      <c r="G566" s="16"/>
      <c r="H566" s="16"/>
      <c r="I566" s="16"/>
      <c r="J566" s="16"/>
      <c r="K566" s="16"/>
    </row>
    <row r="567" ht="14.25" customHeight="1">
      <c r="B567" s="16"/>
      <c r="C567" s="198"/>
      <c r="D567" s="36"/>
      <c r="E567" s="16"/>
      <c r="F567" s="198"/>
      <c r="G567" s="16"/>
      <c r="H567" s="16"/>
      <c r="I567" s="16"/>
      <c r="J567" s="16"/>
      <c r="K567" s="16"/>
    </row>
    <row r="568" ht="14.25" customHeight="1">
      <c r="B568" s="16"/>
      <c r="C568" s="198"/>
      <c r="D568" s="36"/>
      <c r="E568" s="16"/>
      <c r="F568" s="198"/>
      <c r="G568" s="16"/>
      <c r="H568" s="16"/>
      <c r="I568" s="16"/>
      <c r="J568" s="16"/>
      <c r="K568" s="16"/>
    </row>
    <row r="569" ht="14.25" customHeight="1">
      <c r="B569" s="16"/>
      <c r="C569" s="198"/>
      <c r="D569" s="36"/>
      <c r="E569" s="16"/>
      <c r="F569" s="198"/>
      <c r="G569" s="16"/>
      <c r="H569" s="16"/>
      <c r="I569" s="16"/>
      <c r="J569" s="16"/>
      <c r="K569" s="16"/>
    </row>
    <row r="570" ht="14.25" customHeight="1">
      <c r="B570" s="16"/>
      <c r="C570" s="198"/>
      <c r="D570" s="36"/>
      <c r="E570" s="16"/>
      <c r="F570" s="198"/>
      <c r="G570" s="16"/>
      <c r="H570" s="16"/>
      <c r="I570" s="16"/>
      <c r="J570" s="16"/>
      <c r="K570" s="16"/>
    </row>
    <row r="571" ht="14.25" customHeight="1">
      <c r="B571" s="16"/>
      <c r="C571" s="198"/>
      <c r="D571" s="36"/>
      <c r="E571" s="16"/>
      <c r="F571" s="198"/>
      <c r="G571" s="16"/>
      <c r="H571" s="16"/>
      <c r="I571" s="16"/>
      <c r="J571" s="16"/>
      <c r="K571" s="16"/>
    </row>
    <row r="572" ht="14.25" customHeight="1">
      <c r="B572" s="16"/>
      <c r="C572" s="198"/>
      <c r="D572" s="36"/>
      <c r="E572" s="16"/>
      <c r="F572" s="198"/>
      <c r="G572" s="16"/>
      <c r="H572" s="16"/>
      <c r="I572" s="16"/>
      <c r="J572" s="16"/>
      <c r="K572" s="16"/>
    </row>
    <row r="573" ht="14.25" customHeight="1">
      <c r="B573" s="16"/>
      <c r="C573" s="198"/>
      <c r="D573" s="36"/>
      <c r="E573" s="16"/>
      <c r="F573" s="198"/>
      <c r="G573" s="16"/>
      <c r="H573" s="16"/>
      <c r="I573" s="16"/>
      <c r="J573" s="16"/>
      <c r="K573" s="16"/>
    </row>
    <row r="574" ht="14.25" customHeight="1">
      <c r="B574" s="16"/>
      <c r="C574" s="198"/>
      <c r="D574" s="36"/>
      <c r="E574" s="16"/>
      <c r="F574" s="198"/>
      <c r="G574" s="16"/>
      <c r="H574" s="16"/>
      <c r="I574" s="16"/>
      <c r="J574" s="16"/>
      <c r="K574" s="16"/>
    </row>
    <row r="575" ht="14.25" customHeight="1">
      <c r="B575" s="16"/>
      <c r="C575" s="198"/>
      <c r="D575" s="36"/>
      <c r="E575" s="16"/>
      <c r="F575" s="198"/>
      <c r="G575" s="16"/>
      <c r="H575" s="16"/>
      <c r="I575" s="16"/>
      <c r="J575" s="16"/>
      <c r="K575" s="16"/>
    </row>
    <row r="576" ht="14.25" customHeight="1">
      <c r="B576" s="16"/>
      <c r="C576" s="198"/>
      <c r="D576" s="36"/>
      <c r="E576" s="16"/>
      <c r="F576" s="198"/>
      <c r="G576" s="16"/>
      <c r="H576" s="16"/>
      <c r="I576" s="16"/>
      <c r="J576" s="16"/>
      <c r="K576" s="16"/>
    </row>
    <row r="577" ht="14.25" customHeight="1">
      <c r="B577" s="16"/>
      <c r="C577" s="198"/>
      <c r="D577" s="36"/>
      <c r="E577" s="16"/>
      <c r="F577" s="198"/>
      <c r="G577" s="16"/>
      <c r="H577" s="16"/>
      <c r="I577" s="16"/>
      <c r="J577" s="16"/>
      <c r="K577" s="16"/>
    </row>
    <row r="578" ht="14.25" customHeight="1">
      <c r="B578" s="16"/>
      <c r="C578" s="198"/>
      <c r="D578" s="36"/>
      <c r="E578" s="16"/>
      <c r="F578" s="198"/>
      <c r="G578" s="16"/>
      <c r="H578" s="16"/>
      <c r="I578" s="16"/>
      <c r="J578" s="16"/>
      <c r="K578" s="16"/>
    </row>
    <row r="579" ht="14.25" customHeight="1">
      <c r="B579" s="16"/>
      <c r="C579" s="198"/>
      <c r="D579" s="36"/>
      <c r="E579" s="16"/>
      <c r="F579" s="198"/>
      <c r="G579" s="16"/>
      <c r="H579" s="16"/>
      <c r="I579" s="16"/>
      <c r="J579" s="16"/>
      <c r="K579" s="16"/>
    </row>
    <row r="580" ht="14.25" customHeight="1">
      <c r="B580" s="16"/>
      <c r="C580" s="198"/>
      <c r="D580" s="36"/>
      <c r="E580" s="16"/>
      <c r="F580" s="198"/>
      <c r="G580" s="16"/>
      <c r="H580" s="16"/>
      <c r="I580" s="16"/>
      <c r="J580" s="16"/>
      <c r="K580" s="16"/>
    </row>
    <row r="581" ht="14.25" customHeight="1">
      <c r="B581" s="16"/>
      <c r="C581" s="198"/>
      <c r="D581" s="36"/>
      <c r="E581" s="16"/>
      <c r="F581" s="198"/>
      <c r="G581" s="16"/>
      <c r="H581" s="16"/>
      <c r="I581" s="16"/>
      <c r="J581" s="16"/>
      <c r="K581" s="16"/>
    </row>
    <row r="582" ht="14.25" customHeight="1">
      <c r="B582" s="16"/>
      <c r="C582" s="198"/>
      <c r="D582" s="36"/>
      <c r="E582" s="16"/>
      <c r="F582" s="198"/>
      <c r="G582" s="16"/>
      <c r="H582" s="16"/>
      <c r="I582" s="16"/>
      <c r="J582" s="16"/>
      <c r="K582" s="16"/>
    </row>
    <row r="583" ht="14.25" customHeight="1">
      <c r="B583" s="16"/>
      <c r="C583" s="198"/>
      <c r="D583" s="36"/>
      <c r="E583" s="16"/>
      <c r="F583" s="198"/>
      <c r="G583" s="16"/>
      <c r="H583" s="16"/>
      <c r="I583" s="16"/>
      <c r="J583" s="16"/>
      <c r="K583" s="16"/>
    </row>
    <row r="584" ht="14.25" customHeight="1">
      <c r="B584" s="16"/>
      <c r="C584" s="198"/>
      <c r="D584" s="36"/>
      <c r="E584" s="16"/>
      <c r="F584" s="198"/>
      <c r="G584" s="16"/>
      <c r="H584" s="16"/>
      <c r="I584" s="16"/>
      <c r="J584" s="16"/>
      <c r="K584" s="16"/>
    </row>
    <row r="585" ht="14.25" customHeight="1">
      <c r="B585" s="16"/>
      <c r="C585" s="198"/>
      <c r="D585" s="36"/>
      <c r="E585" s="16"/>
      <c r="F585" s="198"/>
      <c r="G585" s="16"/>
      <c r="H585" s="16"/>
      <c r="I585" s="16"/>
      <c r="J585" s="16"/>
      <c r="K585" s="16"/>
    </row>
    <row r="586" ht="14.25" customHeight="1">
      <c r="B586" s="16"/>
      <c r="C586" s="198"/>
      <c r="D586" s="36"/>
      <c r="E586" s="16"/>
      <c r="F586" s="198"/>
      <c r="G586" s="16"/>
      <c r="H586" s="16"/>
      <c r="I586" s="16"/>
      <c r="J586" s="16"/>
      <c r="K586" s="16"/>
    </row>
    <row r="587" ht="14.25" customHeight="1">
      <c r="B587" s="16"/>
      <c r="C587" s="198"/>
      <c r="D587" s="36"/>
      <c r="E587" s="16"/>
      <c r="F587" s="198"/>
      <c r="G587" s="16"/>
      <c r="H587" s="16"/>
      <c r="I587" s="16"/>
      <c r="J587" s="16"/>
      <c r="K587" s="16"/>
    </row>
    <row r="588" ht="14.25" customHeight="1">
      <c r="B588" s="16"/>
      <c r="C588" s="198"/>
      <c r="D588" s="36"/>
      <c r="E588" s="16"/>
      <c r="F588" s="198"/>
      <c r="G588" s="16"/>
      <c r="H588" s="16"/>
      <c r="I588" s="16"/>
      <c r="J588" s="16"/>
      <c r="K588" s="16"/>
    </row>
    <row r="589" ht="14.25" customHeight="1">
      <c r="B589" s="16"/>
      <c r="C589" s="198"/>
      <c r="D589" s="36"/>
      <c r="E589" s="16"/>
      <c r="F589" s="198"/>
      <c r="G589" s="16"/>
      <c r="H589" s="16"/>
      <c r="I589" s="16"/>
      <c r="J589" s="16"/>
      <c r="K589" s="16"/>
    </row>
    <row r="590" ht="14.25" customHeight="1">
      <c r="B590" s="16"/>
      <c r="C590" s="198"/>
      <c r="D590" s="36"/>
      <c r="E590" s="16"/>
      <c r="F590" s="198"/>
      <c r="G590" s="16"/>
      <c r="H590" s="16"/>
      <c r="I590" s="16"/>
      <c r="J590" s="16"/>
      <c r="K590" s="16"/>
    </row>
    <row r="591" ht="14.25" customHeight="1">
      <c r="B591" s="16"/>
      <c r="C591" s="198"/>
      <c r="D591" s="36"/>
      <c r="E591" s="16"/>
      <c r="F591" s="198"/>
      <c r="G591" s="16"/>
      <c r="H591" s="16"/>
      <c r="I591" s="16"/>
      <c r="J591" s="16"/>
      <c r="K591" s="16"/>
    </row>
    <row r="592" ht="14.25" customHeight="1">
      <c r="B592" s="16"/>
      <c r="C592" s="198"/>
      <c r="D592" s="36"/>
      <c r="E592" s="16"/>
      <c r="F592" s="198"/>
      <c r="G592" s="16"/>
      <c r="H592" s="16"/>
      <c r="I592" s="16"/>
      <c r="J592" s="16"/>
      <c r="K592" s="16"/>
    </row>
    <row r="593" ht="14.25" customHeight="1">
      <c r="B593" s="16"/>
      <c r="C593" s="198"/>
      <c r="D593" s="36"/>
      <c r="E593" s="16"/>
      <c r="F593" s="198"/>
      <c r="G593" s="16"/>
      <c r="H593" s="16"/>
      <c r="I593" s="16"/>
      <c r="J593" s="16"/>
      <c r="K593" s="16"/>
    </row>
    <row r="594" ht="14.25" customHeight="1">
      <c r="B594" s="16"/>
      <c r="C594" s="198"/>
      <c r="D594" s="36"/>
      <c r="E594" s="16"/>
      <c r="F594" s="198"/>
      <c r="G594" s="16"/>
      <c r="H594" s="16"/>
      <c r="I594" s="16"/>
      <c r="J594" s="16"/>
      <c r="K594" s="16"/>
    </row>
    <row r="595" ht="14.25" customHeight="1">
      <c r="B595" s="16"/>
      <c r="C595" s="198"/>
      <c r="D595" s="36"/>
      <c r="E595" s="16"/>
      <c r="F595" s="198"/>
      <c r="G595" s="16"/>
      <c r="H595" s="16"/>
      <c r="I595" s="16"/>
      <c r="J595" s="16"/>
      <c r="K595" s="16"/>
    </row>
    <row r="596" ht="14.25" customHeight="1">
      <c r="B596" s="16"/>
      <c r="C596" s="198"/>
      <c r="D596" s="36"/>
      <c r="E596" s="16"/>
      <c r="F596" s="198"/>
      <c r="G596" s="16"/>
      <c r="H596" s="16"/>
      <c r="I596" s="16"/>
      <c r="J596" s="16"/>
      <c r="K596" s="16"/>
    </row>
    <row r="597" ht="14.25" customHeight="1">
      <c r="B597" s="16"/>
      <c r="C597" s="198"/>
      <c r="D597" s="36"/>
      <c r="E597" s="16"/>
      <c r="F597" s="198"/>
      <c r="G597" s="16"/>
      <c r="H597" s="16"/>
      <c r="I597" s="16"/>
      <c r="J597" s="16"/>
      <c r="K597" s="16"/>
    </row>
    <row r="598" ht="14.25" customHeight="1">
      <c r="B598" s="16"/>
      <c r="C598" s="198"/>
      <c r="D598" s="36"/>
      <c r="E598" s="16"/>
      <c r="F598" s="198"/>
      <c r="G598" s="16"/>
      <c r="H598" s="16"/>
      <c r="I598" s="16"/>
      <c r="J598" s="16"/>
      <c r="K598" s="16"/>
    </row>
    <row r="599" ht="14.25" customHeight="1">
      <c r="B599" s="16"/>
      <c r="C599" s="198"/>
      <c r="D599" s="36"/>
      <c r="E599" s="16"/>
      <c r="F599" s="198"/>
      <c r="G599" s="16"/>
      <c r="H599" s="16"/>
      <c r="I599" s="16"/>
      <c r="J599" s="16"/>
      <c r="K599" s="16"/>
    </row>
    <row r="600" ht="14.25" customHeight="1">
      <c r="B600" s="16"/>
      <c r="C600" s="198"/>
      <c r="D600" s="36"/>
      <c r="E600" s="16"/>
      <c r="F600" s="198"/>
      <c r="G600" s="16"/>
      <c r="H600" s="16"/>
      <c r="I600" s="16"/>
      <c r="J600" s="16"/>
      <c r="K600" s="16"/>
    </row>
    <row r="601" ht="14.25" customHeight="1">
      <c r="B601" s="16"/>
      <c r="C601" s="198"/>
      <c r="D601" s="36"/>
      <c r="E601" s="16"/>
      <c r="F601" s="198"/>
      <c r="G601" s="16"/>
      <c r="H601" s="16"/>
      <c r="I601" s="16"/>
      <c r="J601" s="16"/>
      <c r="K601" s="16"/>
    </row>
    <row r="602" ht="14.25" customHeight="1">
      <c r="B602" s="16"/>
      <c r="C602" s="198"/>
      <c r="D602" s="36"/>
      <c r="E602" s="16"/>
      <c r="F602" s="198"/>
      <c r="G602" s="16"/>
      <c r="H602" s="16"/>
      <c r="I602" s="16"/>
      <c r="J602" s="16"/>
      <c r="K602" s="16"/>
    </row>
    <row r="603" ht="14.25" customHeight="1">
      <c r="B603" s="16"/>
      <c r="C603" s="198"/>
      <c r="D603" s="36"/>
      <c r="E603" s="16"/>
      <c r="F603" s="198"/>
      <c r="G603" s="16"/>
      <c r="H603" s="16"/>
      <c r="I603" s="16"/>
      <c r="J603" s="16"/>
      <c r="K603" s="16"/>
    </row>
    <row r="604" ht="14.25" customHeight="1">
      <c r="B604" s="16"/>
      <c r="C604" s="198"/>
      <c r="D604" s="36"/>
      <c r="E604" s="16"/>
      <c r="F604" s="198"/>
      <c r="G604" s="16"/>
      <c r="H604" s="16"/>
      <c r="I604" s="16"/>
      <c r="J604" s="16"/>
      <c r="K604" s="16"/>
    </row>
    <row r="605" ht="14.25" customHeight="1">
      <c r="B605" s="16"/>
      <c r="C605" s="198"/>
      <c r="D605" s="36"/>
      <c r="E605" s="16"/>
      <c r="F605" s="198"/>
      <c r="G605" s="16"/>
      <c r="H605" s="16"/>
      <c r="I605" s="16"/>
      <c r="J605" s="16"/>
      <c r="K605" s="16"/>
    </row>
    <row r="606" ht="14.25" customHeight="1">
      <c r="B606" s="16"/>
      <c r="C606" s="198"/>
      <c r="D606" s="36"/>
      <c r="E606" s="16"/>
      <c r="F606" s="198"/>
      <c r="G606" s="16"/>
      <c r="H606" s="16"/>
      <c r="I606" s="16"/>
      <c r="J606" s="16"/>
      <c r="K606" s="16"/>
    </row>
    <row r="607" ht="14.25" customHeight="1">
      <c r="B607" s="16"/>
      <c r="C607" s="198"/>
      <c r="D607" s="36"/>
      <c r="E607" s="16"/>
      <c r="F607" s="198"/>
      <c r="G607" s="16"/>
      <c r="H607" s="16"/>
      <c r="I607" s="16"/>
      <c r="J607" s="16"/>
      <c r="K607" s="16"/>
    </row>
    <row r="608" ht="14.25" customHeight="1">
      <c r="B608" s="16"/>
      <c r="C608" s="198"/>
      <c r="D608" s="36"/>
      <c r="E608" s="16"/>
      <c r="F608" s="198"/>
      <c r="G608" s="16"/>
      <c r="H608" s="16"/>
      <c r="I608" s="16"/>
      <c r="J608" s="16"/>
      <c r="K608" s="16"/>
    </row>
    <row r="609" ht="14.25" customHeight="1">
      <c r="B609" s="16"/>
      <c r="C609" s="198"/>
      <c r="D609" s="36"/>
      <c r="E609" s="16"/>
      <c r="F609" s="198"/>
      <c r="G609" s="16"/>
      <c r="H609" s="16"/>
      <c r="I609" s="16"/>
      <c r="J609" s="16"/>
      <c r="K609" s="16"/>
    </row>
    <row r="610" ht="14.25" customHeight="1">
      <c r="B610" s="16"/>
      <c r="C610" s="198"/>
      <c r="D610" s="36"/>
      <c r="E610" s="16"/>
      <c r="F610" s="198"/>
      <c r="G610" s="16"/>
      <c r="H610" s="16"/>
      <c r="I610" s="16"/>
      <c r="J610" s="16"/>
      <c r="K610" s="16"/>
    </row>
    <row r="611" ht="14.25" customHeight="1">
      <c r="B611" s="16"/>
      <c r="C611" s="198"/>
      <c r="D611" s="36"/>
      <c r="E611" s="16"/>
      <c r="F611" s="198"/>
      <c r="G611" s="16"/>
      <c r="H611" s="16"/>
      <c r="I611" s="16"/>
      <c r="J611" s="16"/>
      <c r="K611" s="16"/>
    </row>
    <row r="612" ht="14.25" customHeight="1">
      <c r="B612" s="16"/>
      <c r="C612" s="198"/>
      <c r="D612" s="36"/>
      <c r="E612" s="16"/>
      <c r="F612" s="198"/>
      <c r="G612" s="16"/>
      <c r="H612" s="16"/>
      <c r="I612" s="16"/>
      <c r="J612" s="16"/>
      <c r="K612" s="16"/>
    </row>
    <row r="613" ht="14.25" customHeight="1">
      <c r="B613" s="16"/>
      <c r="C613" s="198"/>
      <c r="D613" s="36"/>
      <c r="E613" s="16"/>
      <c r="F613" s="198"/>
      <c r="G613" s="16"/>
      <c r="H613" s="16"/>
      <c r="I613" s="16"/>
      <c r="J613" s="16"/>
      <c r="K613" s="16"/>
    </row>
    <row r="614" ht="14.25" customHeight="1">
      <c r="B614" s="16"/>
      <c r="C614" s="198"/>
      <c r="D614" s="36"/>
      <c r="E614" s="16"/>
      <c r="F614" s="198"/>
      <c r="G614" s="16"/>
      <c r="H614" s="16"/>
      <c r="I614" s="16"/>
      <c r="J614" s="16"/>
      <c r="K614" s="16"/>
    </row>
    <row r="615" ht="14.25" customHeight="1">
      <c r="B615" s="16"/>
      <c r="C615" s="198"/>
      <c r="D615" s="36"/>
      <c r="E615" s="16"/>
      <c r="F615" s="198"/>
      <c r="G615" s="16"/>
      <c r="H615" s="16"/>
      <c r="I615" s="16"/>
      <c r="J615" s="16"/>
      <c r="K615" s="16"/>
    </row>
    <row r="616" ht="14.25" customHeight="1">
      <c r="B616" s="16"/>
      <c r="C616" s="198"/>
      <c r="D616" s="36"/>
      <c r="E616" s="16"/>
      <c r="F616" s="198"/>
      <c r="G616" s="16"/>
      <c r="H616" s="16"/>
      <c r="I616" s="16"/>
      <c r="J616" s="16"/>
      <c r="K616" s="16"/>
    </row>
    <row r="617" ht="14.25" customHeight="1">
      <c r="B617" s="16"/>
      <c r="C617" s="198"/>
      <c r="D617" s="36"/>
      <c r="E617" s="16"/>
      <c r="F617" s="198"/>
      <c r="G617" s="16"/>
      <c r="H617" s="16"/>
      <c r="I617" s="16"/>
      <c r="J617" s="16"/>
      <c r="K617" s="16"/>
    </row>
    <row r="618" ht="14.25" customHeight="1">
      <c r="B618" s="16"/>
      <c r="C618" s="198"/>
      <c r="D618" s="36"/>
      <c r="E618" s="16"/>
      <c r="F618" s="198"/>
      <c r="G618" s="16"/>
      <c r="H618" s="16"/>
      <c r="I618" s="16"/>
      <c r="J618" s="16"/>
      <c r="K618" s="16"/>
    </row>
    <row r="619" ht="14.25" customHeight="1">
      <c r="B619" s="16"/>
      <c r="C619" s="198"/>
      <c r="D619" s="36"/>
      <c r="E619" s="16"/>
      <c r="F619" s="198"/>
      <c r="G619" s="16"/>
      <c r="H619" s="16"/>
      <c r="I619" s="16"/>
      <c r="J619" s="16"/>
      <c r="K619" s="16"/>
    </row>
    <row r="620" ht="14.25" customHeight="1">
      <c r="B620" s="16"/>
      <c r="C620" s="198"/>
      <c r="D620" s="36"/>
      <c r="E620" s="16"/>
      <c r="F620" s="198"/>
      <c r="G620" s="16"/>
      <c r="H620" s="16"/>
      <c r="I620" s="16"/>
      <c r="J620" s="16"/>
      <c r="K620" s="16"/>
    </row>
    <row r="621" ht="14.25" customHeight="1">
      <c r="B621" s="16"/>
      <c r="C621" s="198"/>
      <c r="D621" s="36"/>
      <c r="E621" s="16"/>
      <c r="F621" s="198"/>
      <c r="G621" s="16"/>
      <c r="H621" s="16"/>
      <c r="I621" s="16"/>
      <c r="J621" s="16"/>
      <c r="K621" s="16"/>
    </row>
    <row r="622" ht="14.25" customHeight="1">
      <c r="B622" s="16"/>
      <c r="C622" s="198"/>
      <c r="D622" s="36"/>
      <c r="E622" s="16"/>
      <c r="F622" s="198"/>
      <c r="G622" s="16"/>
      <c r="H622" s="16"/>
      <c r="I622" s="16"/>
      <c r="J622" s="16"/>
      <c r="K622" s="16"/>
    </row>
    <row r="623" ht="14.25" customHeight="1">
      <c r="B623" s="16"/>
      <c r="C623" s="198"/>
      <c r="D623" s="36"/>
      <c r="E623" s="16"/>
      <c r="F623" s="198"/>
      <c r="G623" s="16"/>
      <c r="H623" s="16"/>
      <c r="I623" s="16"/>
      <c r="J623" s="16"/>
      <c r="K623" s="16"/>
    </row>
    <row r="624" ht="14.25" customHeight="1">
      <c r="B624" s="16"/>
      <c r="C624" s="198"/>
      <c r="D624" s="36"/>
      <c r="E624" s="16"/>
      <c r="F624" s="198"/>
      <c r="G624" s="16"/>
      <c r="H624" s="16"/>
      <c r="I624" s="16"/>
      <c r="J624" s="16"/>
      <c r="K624" s="16"/>
    </row>
    <row r="625" ht="14.25" customHeight="1">
      <c r="B625" s="16"/>
      <c r="C625" s="198"/>
      <c r="D625" s="36"/>
      <c r="E625" s="16"/>
      <c r="F625" s="198"/>
      <c r="G625" s="16"/>
      <c r="H625" s="16"/>
      <c r="I625" s="16"/>
      <c r="J625" s="16"/>
      <c r="K625" s="16"/>
    </row>
    <row r="626" ht="14.25" customHeight="1">
      <c r="B626" s="16"/>
      <c r="C626" s="198"/>
      <c r="D626" s="36"/>
      <c r="E626" s="16"/>
      <c r="F626" s="198"/>
      <c r="G626" s="16"/>
      <c r="H626" s="16"/>
      <c r="I626" s="16"/>
      <c r="J626" s="16"/>
      <c r="K626" s="16"/>
    </row>
    <row r="627" ht="14.25" customHeight="1">
      <c r="B627" s="16"/>
      <c r="C627" s="198"/>
      <c r="D627" s="36"/>
      <c r="E627" s="16"/>
      <c r="F627" s="198"/>
      <c r="G627" s="16"/>
      <c r="H627" s="16"/>
      <c r="I627" s="16"/>
      <c r="J627" s="16"/>
      <c r="K627" s="16"/>
    </row>
    <row r="628" ht="14.25" customHeight="1">
      <c r="B628" s="16"/>
      <c r="C628" s="198"/>
      <c r="D628" s="36"/>
      <c r="E628" s="16"/>
      <c r="F628" s="198"/>
      <c r="G628" s="16"/>
      <c r="H628" s="16"/>
      <c r="I628" s="16"/>
      <c r="J628" s="16"/>
      <c r="K628" s="16"/>
    </row>
    <row r="629" ht="14.25" customHeight="1">
      <c r="B629" s="16"/>
      <c r="C629" s="198"/>
      <c r="D629" s="36"/>
      <c r="E629" s="16"/>
      <c r="F629" s="198"/>
      <c r="G629" s="16"/>
      <c r="H629" s="16"/>
      <c r="I629" s="16"/>
      <c r="J629" s="16"/>
      <c r="K629" s="16"/>
    </row>
    <row r="630" ht="14.25" customHeight="1">
      <c r="B630" s="16"/>
      <c r="C630" s="198"/>
      <c r="D630" s="36"/>
      <c r="E630" s="16"/>
      <c r="F630" s="198"/>
      <c r="G630" s="16"/>
      <c r="H630" s="16"/>
      <c r="I630" s="16"/>
      <c r="J630" s="16"/>
      <c r="K630" s="16"/>
    </row>
    <row r="631" ht="14.25" customHeight="1">
      <c r="B631" s="16"/>
      <c r="C631" s="198"/>
      <c r="D631" s="36"/>
      <c r="E631" s="16"/>
      <c r="F631" s="198"/>
      <c r="G631" s="16"/>
      <c r="H631" s="16"/>
      <c r="I631" s="16"/>
      <c r="J631" s="16"/>
      <c r="K631" s="16"/>
    </row>
    <row r="632" ht="14.25" customHeight="1">
      <c r="B632" s="16"/>
      <c r="C632" s="198"/>
      <c r="D632" s="36"/>
      <c r="E632" s="16"/>
      <c r="F632" s="198"/>
      <c r="G632" s="16"/>
      <c r="H632" s="16"/>
      <c r="I632" s="16"/>
      <c r="J632" s="16"/>
      <c r="K632" s="16"/>
    </row>
    <row r="633" ht="14.25" customHeight="1">
      <c r="B633" s="16"/>
      <c r="C633" s="198"/>
      <c r="D633" s="36"/>
      <c r="E633" s="16"/>
      <c r="F633" s="198"/>
      <c r="G633" s="16"/>
      <c r="H633" s="16"/>
      <c r="I633" s="16"/>
      <c r="J633" s="16"/>
      <c r="K633" s="16"/>
    </row>
    <row r="634" ht="14.25" customHeight="1">
      <c r="B634" s="16"/>
      <c r="C634" s="198"/>
      <c r="D634" s="36"/>
      <c r="E634" s="16"/>
      <c r="F634" s="198"/>
      <c r="G634" s="16"/>
      <c r="H634" s="16"/>
      <c r="I634" s="16"/>
      <c r="J634" s="16"/>
      <c r="K634" s="16"/>
    </row>
    <row r="635" ht="14.25" customHeight="1">
      <c r="B635" s="16"/>
      <c r="C635" s="198"/>
      <c r="D635" s="36"/>
      <c r="E635" s="16"/>
      <c r="F635" s="198"/>
      <c r="G635" s="16"/>
      <c r="H635" s="16"/>
      <c r="I635" s="16"/>
      <c r="J635" s="16"/>
      <c r="K635" s="16"/>
    </row>
    <row r="636" ht="14.25" customHeight="1">
      <c r="B636" s="16"/>
      <c r="C636" s="198"/>
      <c r="D636" s="36"/>
      <c r="E636" s="16"/>
      <c r="F636" s="198"/>
      <c r="G636" s="16"/>
      <c r="H636" s="16"/>
      <c r="I636" s="16"/>
      <c r="J636" s="16"/>
      <c r="K636" s="16"/>
    </row>
    <row r="637" ht="14.25" customHeight="1">
      <c r="B637" s="16"/>
      <c r="C637" s="198"/>
      <c r="D637" s="36"/>
      <c r="E637" s="16"/>
      <c r="F637" s="198"/>
      <c r="G637" s="16"/>
      <c r="H637" s="16"/>
      <c r="I637" s="16"/>
      <c r="J637" s="16"/>
      <c r="K637" s="16"/>
    </row>
    <row r="638" ht="14.25" customHeight="1">
      <c r="B638" s="16"/>
      <c r="C638" s="198"/>
      <c r="D638" s="36"/>
      <c r="E638" s="16"/>
      <c r="F638" s="198"/>
      <c r="G638" s="16"/>
      <c r="H638" s="16"/>
      <c r="I638" s="16"/>
      <c r="J638" s="16"/>
      <c r="K638" s="16"/>
    </row>
    <row r="639" ht="14.25" customHeight="1">
      <c r="B639" s="16"/>
      <c r="C639" s="198"/>
      <c r="D639" s="36"/>
      <c r="E639" s="16"/>
      <c r="F639" s="198"/>
      <c r="G639" s="16"/>
      <c r="H639" s="16"/>
      <c r="I639" s="16"/>
      <c r="J639" s="16"/>
      <c r="K639" s="16"/>
    </row>
    <row r="640" ht="14.25" customHeight="1">
      <c r="B640" s="16"/>
      <c r="C640" s="198"/>
      <c r="D640" s="36"/>
      <c r="E640" s="16"/>
      <c r="F640" s="198"/>
      <c r="G640" s="16"/>
      <c r="H640" s="16"/>
      <c r="I640" s="16"/>
      <c r="J640" s="16"/>
      <c r="K640" s="16"/>
    </row>
    <row r="641" ht="14.25" customHeight="1">
      <c r="B641" s="16"/>
      <c r="C641" s="198"/>
      <c r="D641" s="36"/>
      <c r="E641" s="16"/>
      <c r="F641" s="198"/>
      <c r="G641" s="16"/>
      <c r="H641" s="16"/>
      <c r="I641" s="16"/>
      <c r="J641" s="16"/>
      <c r="K641" s="16"/>
    </row>
    <row r="642" ht="14.25" customHeight="1">
      <c r="B642" s="16"/>
      <c r="C642" s="198"/>
      <c r="D642" s="36"/>
      <c r="E642" s="16"/>
      <c r="F642" s="198"/>
      <c r="G642" s="16"/>
      <c r="H642" s="16"/>
      <c r="I642" s="16"/>
      <c r="J642" s="16"/>
      <c r="K642" s="16"/>
    </row>
    <row r="643" ht="14.25" customHeight="1">
      <c r="B643" s="16"/>
      <c r="C643" s="198"/>
      <c r="D643" s="36"/>
      <c r="E643" s="16"/>
      <c r="F643" s="198"/>
      <c r="G643" s="16"/>
      <c r="H643" s="16"/>
      <c r="I643" s="16"/>
      <c r="J643" s="16"/>
      <c r="K643" s="16"/>
    </row>
    <row r="644" ht="14.25" customHeight="1">
      <c r="B644" s="16"/>
      <c r="C644" s="198"/>
      <c r="D644" s="36"/>
      <c r="E644" s="16"/>
      <c r="F644" s="198"/>
      <c r="G644" s="16"/>
      <c r="H644" s="16"/>
      <c r="I644" s="16"/>
      <c r="J644" s="16"/>
      <c r="K644" s="16"/>
    </row>
    <row r="645" ht="14.25" customHeight="1">
      <c r="B645" s="16"/>
      <c r="C645" s="198"/>
      <c r="D645" s="36"/>
      <c r="E645" s="16"/>
      <c r="F645" s="198"/>
      <c r="G645" s="16"/>
      <c r="H645" s="16"/>
      <c r="I645" s="16"/>
      <c r="J645" s="16"/>
      <c r="K645" s="16"/>
    </row>
    <row r="646" ht="14.25" customHeight="1">
      <c r="B646" s="16"/>
      <c r="C646" s="198"/>
      <c r="D646" s="36"/>
      <c r="E646" s="16"/>
      <c r="F646" s="198"/>
      <c r="G646" s="16"/>
      <c r="H646" s="16"/>
      <c r="I646" s="16"/>
      <c r="J646" s="16"/>
      <c r="K646" s="16"/>
    </row>
    <row r="647" ht="14.25" customHeight="1">
      <c r="B647" s="16"/>
      <c r="C647" s="198"/>
      <c r="D647" s="36"/>
      <c r="E647" s="16"/>
      <c r="F647" s="198"/>
      <c r="G647" s="16"/>
      <c r="H647" s="16"/>
      <c r="I647" s="16"/>
      <c r="J647" s="16"/>
      <c r="K647" s="16"/>
    </row>
    <row r="648" ht="14.25" customHeight="1">
      <c r="B648" s="16"/>
      <c r="C648" s="198"/>
      <c r="D648" s="36"/>
      <c r="E648" s="16"/>
      <c r="F648" s="198"/>
      <c r="G648" s="16"/>
      <c r="H648" s="16"/>
      <c r="I648" s="16"/>
      <c r="J648" s="16"/>
      <c r="K648" s="16"/>
    </row>
    <row r="649" ht="14.25" customHeight="1">
      <c r="B649" s="16"/>
      <c r="C649" s="198"/>
      <c r="D649" s="36"/>
      <c r="E649" s="16"/>
      <c r="F649" s="198"/>
      <c r="G649" s="16"/>
      <c r="H649" s="16"/>
      <c r="I649" s="16"/>
      <c r="J649" s="16"/>
      <c r="K649" s="16"/>
    </row>
    <row r="650" ht="14.25" customHeight="1">
      <c r="B650" s="16"/>
      <c r="C650" s="198"/>
      <c r="D650" s="36"/>
      <c r="E650" s="16"/>
      <c r="F650" s="198"/>
      <c r="G650" s="16"/>
      <c r="H650" s="16"/>
      <c r="I650" s="16"/>
      <c r="J650" s="16"/>
      <c r="K650" s="16"/>
    </row>
    <row r="651" ht="14.25" customHeight="1">
      <c r="B651" s="16"/>
      <c r="C651" s="198"/>
      <c r="D651" s="36"/>
      <c r="E651" s="16"/>
      <c r="F651" s="198"/>
      <c r="G651" s="16"/>
      <c r="H651" s="16"/>
      <c r="I651" s="16"/>
      <c r="J651" s="16"/>
      <c r="K651" s="16"/>
    </row>
    <row r="652" ht="14.25" customHeight="1">
      <c r="B652" s="16"/>
      <c r="C652" s="198"/>
      <c r="D652" s="36"/>
      <c r="E652" s="16"/>
      <c r="F652" s="198"/>
      <c r="G652" s="16"/>
      <c r="H652" s="16"/>
      <c r="I652" s="16"/>
      <c r="J652" s="16"/>
      <c r="K652" s="16"/>
    </row>
    <row r="653" ht="14.25" customHeight="1">
      <c r="B653" s="16"/>
      <c r="C653" s="198"/>
      <c r="D653" s="36"/>
      <c r="E653" s="16"/>
      <c r="F653" s="198"/>
      <c r="G653" s="16"/>
      <c r="H653" s="16"/>
      <c r="I653" s="16"/>
      <c r="J653" s="16"/>
      <c r="K653" s="16"/>
    </row>
    <row r="654" ht="14.25" customHeight="1">
      <c r="B654" s="16"/>
      <c r="C654" s="198"/>
      <c r="D654" s="36"/>
      <c r="E654" s="16"/>
      <c r="F654" s="198"/>
      <c r="G654" s="16"/>
      <c r="H654" s="16"/>
      <c r="I654" s="16"/>
      <c r="J654" s="16"/>
      <c r="K654" s="16"/>
    </row>
    <row r="655" ht="14.25" customHeight="1">
      <c r="B655" s="16"/>
      <c r="C655" s="198"/>
      <c r="D655" s="36"/>
      <c r="E655" s="16"/>
      <c r="F655" s="198"/>
      <c r="G655" s="16"/>
      <c r="H655" s="16"/>
      <c r="I655" s="16"/>
      <c r="J655" s="16"/>
      <c r="K655" s="16"/>
    </row>
    <row r="656" ht="14.25" customHeight="1">
      <c r="B656" s="16"/>
      <c r="C656" s="198"/>
      <c r="D656" s="36"/>
      <c r="E656" s="16"/>
      <c r="F656" s="198"/>
      <c r="G656" s="16"/>
      <c r="H656" s="16"/>
      <c r="I656" s="16"/>
      <c r="J656" s="16"/>
      <c r="K656" s="16"/>
    </row>
    <row r="657" ht="14.25" customHeight="1">
      <c r="B657" s="16"/>
      <c r="C657" s="198"/>
      <c r="D657" s="36"/>
      <c r="E657" s="16"/>
      <c r="F657" s="198"/>
      <c r="G657" s="16"/>
      <c r="H657" s="16"/>
      <c r="I657" s="16"/>
      <c r="J657" s="16"/>
      <c r="K657" s="16"/>
    </row>
    <row r="658" ht="14.25" customHeight="1">
      <c r="B658" s="16"/>
      <c r="C658" s="198"/>
      <c r="D658" s="36"/>
      <c r="E658" s="16"/>
      <c r="F658" s="198"/>
      <c r="G658" s="16"/>
      <c r="H658" s="16"/>
      <c r="I658" s="16"/>
      <c r="J658" s="16"/>
      <c r="K658" s="16"/>
    </row>
    <row r="659" ht="14.25" customHeight="1">
      <c r="B659" s="16"/>
      <c r="C659" s="198"/>
      <c r="D659" s="36"/>
      <c r="E659" s="16"/>
      <c r="F659" s="198"/>
      <c r="G659" s="16"/>
      <c r="H659" s="16"/>
      <c r="I659" s="16"/>
      <c r="J659" s="16"/>
      <c r="K659" s="16"/>
    </row>
    <row r="660" ht="14.25" customHeight="1">
      <c r="B660" s="16"/>
      <c r="C660" s="198"/>
      <c r="D660" s="36"/>
      <c r="E660" s="16"/>
      <c r="F660" s="198"/>
      <c r="G660" s="16"/>
      <c r="H660" s="16"/>
      <c r="I660" s="16"/>
      <c r="J660" s="16"/>
      <c r="K660" s="16"/>
    </row>
    <row r="661" ht="14.25" customHeight="1">
      <c r="B661" s="16"/>
      <c r="C661" s="198"/>
      <c r="D661" s="36"/>
      <c r="E661" s="16"/>
      <c r="F661" s="198"/>
      <c r="G661" s="16"/>
      <c r="H661" s="16"/>
      <c r="I661" s="16"/>
      <c r="J661" s="16"/>
      <c r="K661" s="16"/>
    </row>
    <row r="662" ht="14.25" customHeight="1">
      <c r="B662" s="16"/>
      <c r="C662" s="198"/>
      <c r="D662" s="36"/>
      <c r="E662" s="16"/>
      <c r="F662" s="198"/>
      <c r="G662" s="16"/>
      <c r="H662" s="16"/>
      <c r="I662" s="16"/>
      <c r="J662" s="16"/>
      <c r="K662" s="16"/>
    </row>
    <row r="663" ht="14.25" customHeight="1">
      <c r="B663" s="16"/>
      <c r="C663" s="198"/>
      <c r="D663" s="36"/>
      <c r="E663" s="16"/>
      <c r="F663" s="198"/>
      <c r="G663" s="16"/>
      <c r="H663" s="16"/>
      <c r="I663" s="16"/>
      <c r="J663" s="16"/>
      <c r="K663" s="16"/>
    </row>
    <row r="664" ht="14.25" customHeight="1">
      <c r="B664" s="16"/>
      <c r="C664" s="198"/>
      <c r="D664" s="36"/>
      <c r="E664" s="16"/>
      <c r="F664" s="198"/>
      <c r="G664" s="16"/>
      <c r="H664" s="16"/>
      <c r="I664" s="16"/>
      <c r="J664" s="16"/>
      <c r="K664" s="16"/>
    </row>
    <row r="665" ht="14.25" customHeight="1">
      <c r="B665" s="16"/>
      <c r="C665" s="198"/>
      <c r="D665" s="36"/>
      <c r="E665" s="16"/>
      <c r="F665" s="198"/>
      <c r="G665" s="16"/>
      <c r="H665" s="16"/>
      <c r="I665" s="16"/>
      <c r="J665" s="16"/>
      <c r="K665" s="16"/>
    </row>
    <row r="666" ht="14.25" customHeight="1">
      <c r="B666" s="16"/>
      <c r="C666" s="198"/>
      <c r="D666" s="36"/>
      <c r="E666" s="16"/>
      <c r="F666" s="198"/>
      <c r="G666" s="16"/>
      <c r="H666" s="16"/>
      <c r="I666" s="16"/>
      <c r="J666" s="16"/>
      <c r="K666" s="16"/>
    </row>
    <row r="667" ht="14.25" customHeight="1">
      <c r="B667" s="16"/>
      <c r="C667" s="198"/>
      <c r="D667" s="36"/>
      <c r="E667" s="16"/>
      <c r="F667" s="198"/>
      <c r="G667" s="16"/>
      <c r="H667" s="16"/>
      <c r="I667" s="16"/>
      <c r="J667" s="16"/>
      <c r="K667" s="16"/>
    </row>
    <row r="668" ht="14.25" customHeight="1">
      <c r="B668" s="16"/>
      <c r="C668" s="198"/>
      <c r="D668" s="36"/>
      <c r="E668" s="16"/>
      <c r="F668" s="198"/>
      <c r="G668" s="16"/>
      <c r="H668" s="16"/>
      <c r="I668" s="16"/>
      <c r="J668" s="16"/>
      <c r="K668" s="16"/>
    </row>
    <row r="669" ht="14.25" customHeight="1">
      <c r="B669" s="16"/>
      <c r="C669" s="198"/>
      <c r="D669" s="36"/>
      <c r="E669" s="16"/>
      <c r="F669" s="198"/>
      <c r="G669" s="16"/>
      <c r="H669" s="16"/>
      <c r="I669" s="16"/>
      <c r="J669" s="16"/>
      <c r="K669" s="16"/>
    </row>
    <row r="670" ht="14.25" customHeight="1">
      <c r="B670" s="16"/>
      <c r="C670" s="198"/>
      <c r="D670" s="36"/>
      <c r="E670" s="16"/>
      <c r="F670" s="198"/>
      <c r="G670" s="16"/>
      <c r="H670" s="16"/>
      <c r="I670" s="16"/>
      <c r="J670" s="16"/>
      <c r="K670" s="16"/>
    </row>
    <row r="671" ht="14.25" customHeight="1">
      <c r="B671" s="16"/>
      <c r="C671" s="198"/>
      <c r="D671" s="36"/>
      <c r="E671" s="16"/>
      <c r="F671" s="198"/>
      <c r="G671" s="16"/>
      <c r="H671" s="16"/>
      <c r="I671" s="16"/>
      <c r="J671" s="16"/>
      <c r="K671" s="16"/>
    </row>
    <row r="672" ht="14.25" customHeight="1">
      <c r="B672" s="16"/>
      <c r="C672" s="198"/>
      <c r="D672" s="36"/>
      <c r="E672" s="16"/>
      <c r="F672" s="198"/>
      <c r="G672" s="16"/>
      <c r="H672" s="16"/>
      <c r="I672" s="16"/>
      <c r="J672" s="16"/>
      <c r="K672" s="16"/>
    </row>
    <row r="673" ht="14.25" customHeight="1">
      <c r="B673" s="16"/>
      <c r="C673" s="198"/>
      <c r="D673" s="36"/>
      <c r="E673" s="16"/>
      <c r="F673" s="198"/>
      <c r="G673" s="16"/>
      <c r="H673" s="16"/>
      <c r="I673" s="16"/>
      <c r="J673" s="16"/>
      <c r="K673" s="16"/>
    </row>
    <row r="674" ht="14.25" customHeight="1">
      <c r="B674" s="16"/>
      <c r="C674" s="198"/>
      <c r="D674" s="36"/>
      <c r="E674" s="16"/>
      <c r="F674" s="198"/>
      <c r="G674" s="16"/>
      <c r="H674" s="16"/>
      <c r="I674" s="16"/>
      <c r="J674" s="16"/>
      <c r="K674" s="16"/>
    </row>
    <row r="675" ht="14.25" customHeight="1">
      <c r="B675" s="16"/>
      <c r="C675" s="198"/>
      <c r="D675" s="36"/>
      <c r="E675" s="16"/>
      <c r="F675" s="198"/>
      <c r="G675" s="16"/>
      <c r="H675" s="16"/>
      <c r="I675" s="16"/>
      <c r="J675" s="16"/>
      <c r="K675" s="16"/>
    </row>
    <row r="676" ht="14.25" customHeight="1">
      <c r="B676" s="16"/>
      <c r="C676" s="198"/>
      <c r="D676" s="36"/>
      <c r="E676" s="16"/>
      <c r="F676" s="198"/>
      <c r="G676" s="16"/>
      <c r="H676" s="16"/>
      <c r="I676" s="16"/>
      <c r="J676" s="16"/>
      <c r="K676" s="16"/>
    </row>
    <row r="677" ht="14.25" customHeight="1">
      <c r="B677" s="16"/>
      <c r="C677" s="198"/>
      <c r="D677" s="36"/>
      <c r="E677" s="16"/>
      <c r="F677" s="198"/>
      <c r="G677" s="16"/>
      <c r="H677" s="16"/>
      <c r="I677" s="16"/>
      <c r="J677" s="16"/>
      <c r="K677" s="16"/>
    </row>
    <row r="678" ht="14.25" customHeight="1">
      <c r="B678" s="16"/>
      <c r="C678" s="198"/>
      <c r="D678" s="36"/>
      <c r="E678" s="16"/>
      <c r="F678" s="198"/>
      <c r="G678" s="16"/>
      <c r="H678" s="16"/>
      <c r="I678" s="16"/>
      <c r="J678" s="16"/>
      <c r="K678" s="16"/>
    </row>
    <row r="679" ht="14.25" customHeight="1">
      <c r="B679" s="16"/>
      <c r="C679" s="198"/>
      <c r="D679" s="36"/>
      <c r="E679" s="16"/>
      <c r="F679" s="198"/>
      <c r="G679" s="16"/>
      <c r="H679" s="16"/>
      <c r="I679" s="16"/>
      <c r="J679" s="16"/>
      <c r="K679" s="16"/>
    </row>
    <row r="680" ht="14.25" customHeight="1">
      <c r="B680" s="16"/>
      <c r="C680" s="198"/>
      <c r="D680" s="36"/>
      <c r="E680" s="16"/>
      <c r="F680" s="198"/>
      <c r="G680" s="16"/>
      <c r="H680" s="16"/>
      <c r="I680" s="16"/>
      <c r="J680" s="16"/>
      <c r="K680" s="16"/>
    </row>
    <row r="681" ht="14.25" customHeight="1">
      <c r="B681" s="16"/>
      <c r="C681" s="198"/>
      <c r="D681" s="36"/>
      <c r="E681" s="16"/>
      <c r="F681" s="198"/>
      <c r="G681" s="16"/>
      <c r="H681" s="16"/>
      <c r="I681" s="16"/>
      <c r="J681" s="16"/>
      <c r="K681" s="16"/>
    </row>
    <row r="682" ht="14.25" customHeight="1">
      <c r="B682" s="16"/>
      <c r="C682" s="198"/>
      <c r="D682" s="36"/>
      <c r="E682" s="16"/>
      <c r="F682" s="198"/>
      <c r="G682" s="16"/>
      <c r="H682" s="16"/>
      <c r="I682" s="16"/>
      <c r="J682" s="16"/>
      <c r="K682" s="16"/>
    </row>
    <row r="683" ht="14.25" customHeight="1">
      <c r="B683" s="16"/>
      <c r="C683" s="198"/>
      <c r="D683" s="36"/>
      <c r="E683" s="16"/>
      <c r="F683" s="198"/>
      <c r="G683" s="16"/>
      <c r="H683" s="16"/>
      <c r="I683" s="16"/>
      <c r="J683" s="16"/>
      <c r="K683" s="16"/>
    </row>
    <row r="684" ht="14.25" customHeight="1">
      <c r="B684" s="16"/>
      <c r="C684" s="198"/>
      <c r="D684" s="36"/>
      <c r="E684" s="16"/>
      <c r="F684" s="198"/>
      <c r="G684" s="16"/>
      <c r="H684" s="16"/>
      <c r="I684" s="16"/>
      <c r="J684" s="16"/>
      <c r="K684" s="16"/>
    </row>
    <row r="685" ht="14.25" customHeight="1">
      <c r="B685" s="16"/>
      <c r="C685" s="198"/>
      <c r="D685" s="36"/>
      <c r="E685" s="16"/>
      <c r="F685" s="198"/>
      <c r="G685" s="16"/>
      <c r="H685" s="16"/>
      <c r="I685" s="16"/>
      <c r="J685" s="16"/>
      <c r="K685" s="16"/>
    </row>
    <row r="686" ht="14.25" customHeight="1">
      <c r="B686" s="16"/>
      <c r="C686" s="198"/>
      <c r="D686" s="36"/>
      <c r="E686" s="16"/>
      <c r="F686" s="198"/>
      <c r="G686" s="16"/>
      <c r="H686" s="16"/>
      <c r="I686" s="16"/>
      <c r="J686" s="16"/>
      <c r="K686" s="16"/>
    </row>
    <row r="687" ht="14.25" customHeight="1">
      <c r="B687" s="16"/>
      <c r="C687" s="198"/>
      <c r="D687" s="36"/>
      <c r="E687" s="16"/>
      <c r="F687" s="198"/>
      <c r="G687" s="16"/>
      <c r="H687" s="16"/>
      <c r="I687" s="16"/>
      <c r="J687" s="16"/>
      <c r="K687" s="16"/>
    </row>
    <row r="688" ht="14.25" customHeight="1">
      <c r="B688" s="16"/>
      <c r="C688" s="198"/>
      <c r="D688" s="36"/>
      <c r="E688" s="16"/>
      <c r="F688" s="198"/>
      <c r="G688" s="16"/>
      <c r="H688" s="16"/>
      <c r="I688" s="16"/>
      <c r="J688" s="16"/>
      <c r="K688" s="16"/>
    </row>
    <row r="689" ht="14.25" customHeight="1">
      <c r="B689" s="16"/>
      <c r="C689" s="198"/>
      <c r="D689" s="36"/>
      <c r="E689" s="16"/>
      <c r="F689" s="198"/>
      <c r="G689" s="16"/>
      <c r="H689" s="16"/>
      <c r="I689" s="16"/>
      <c r="J689" s="16"/>
      <c r="K689" s="16"/>
    </row>
    <row r="690" ht="14.25" customHeight="1">
      <c r="B690" s="16"/>
      <c r="C690" s="198"/>
      <c r="D690" s="36"/>
      <c r="E690" s="16"/>
      <c r="F690" s="198"/>
      <c r="G690" s="16"/>
      <c r="H690" s="16"/>
      <c r="I690" s="16"/>
      <c r="J690" s="16"/>
      <c r="K690" s="16"/>
    </row>
    <row r="691" ht="14.25" customHeight="1">
      <c r="B691" s="16"/>
      <c r="C691" s="198"/>
      <c r="D691" s="36"/>
      <c r="E691" s="16"/>
      <c r="F691" s="198"/>
      <c r="G691" s="16"/>
      <c r="H691" s="16"/>
      <c r="I691" s="16"/>
      <c r="J691" s="16"/>
      <c r="K691" s="16"/>
    </row>
    <row r="692" ht="14.25" customHeight="1">
      <c r="B692" s="16"/>
      <c r="C692" s="198"/>
      <c r="D692" s="36"/>
      <c r="E692" s="16"/>
      <c r="F692" s="198"/>
      <c r="G692" s="16"/>
      <c r="H692" s="16"/>
      <c r="I692" s="16"/>
      <c r="J692" s="16"/>
      <c r="K692" s="16"/>
    </row>
    <row r="693" ht="14.25" customHeight="1">
      <c r="B693" s="16"/>
      <c r="C693" s="198"/>
      <c r="D693" s="36"/>
      <c r="E693" s="16"/>
      <c r="F693" s="198"/>
      <c r="G693" s="16"/>
      <c r="H693" s="16"/>
      <c r="I693" s="16"/>
      <c r="J693" s="16"/>
      <c r="K693" s="16"/>
    </row>
    <row r="694" ht="14.25" customHeight="1">
      <c r="B694" s="16"/>
      <c r="C694" s="198"/>
      <c r="D694" s="36"/>
      <c r="E694" s="16"/>
      <c r="F694" s="198"/>
      <c r="G694" s="16"/>
      <c r="H694" s="16"/>
      <c r="I694" s="16"/>
      <c r="J694" s="16"/>
      <c r="K694" s="16"/>
    </row>
    <row r="695" ht="14.25" customHeight="1">
      <c r="B695" s="16"/>
      <c r="C695" s="198"/>
      <c r="D695" s="36"/>
      <c r="E695" s="16"/>
      <c r="F695" s="198"/>
      <c r="G695" s="16"/>
      <c r="H695" s="16"/>
      <c r="I695" s="16"/>
      <c r="J695" s="16"/>
      <c r="K695" s="16"/>
    </row>
    <row r="696" ht="14.25" customHeight="1">
      <c r="B696" s="16"/>
      <c r="C696" s="198"/>
      <c r="D696" s="36"/>
      <c r="E696" s="16"/>
      <c r="F696" s="198"/>
      <c r="G696" s="16"/>
      <c r="H696" s="16"/>
      <c r="I696" s="16"/>
      <c r="J696" s="16"/>
      <c r="K696" s="16"/>
    </row>
    <row r="697" ht="14.25" customHeight="1">
      <c r="B697" s="16"/>
      <c r="C697" s="198"/>
      <c r="D697" s="36"/>
      <c r="E697" s="16"/>
      <c r="F697" s="198"/>
      <c r="G697" s="16"/>
      <c r="H697" s="16"/>
      <c r="I697" s="16"/>
      <c r="J697" s="16"/>
      <c r="K697" s="16"/>
    </row>
    <row r="698" ht="14.25" customHeight="1">
      <c r="B698" s="16"/>
      <c r="C698" s="198"/>
      <c r="D698" s="36"/>
      <c r="E698" s="16"/>
      <c r="F698" s="198"/>
      <c r="G698" s="16"/>
      <c r="H698" s="16"/>
      <c r="I698" s="16"/>
      <c r="J698" s="16"/>
      <c r="K698" s="16"/>
    </row>
    <row r="699" ht="14.25" customHeight="1">
      <c r="B699" s="16"/>
      <c r="C699" s="198"/>
      <c r="D699" s="36"/>
      <c r="E699" s="16"/>
      <c r="F699" s="198"/>
      <c r="G699" s="16"/>
      <c r="H699" s="16"/>
      <c r="I699" s="16"/>
      <c r="J699" s="16"/>
      <c r="K699" s="16"/>
    </row>
    <row r="700" ht="14.25" customHeight="1">
      <c r="B700" s="16"/>
      <c r="C700" s="198"/>
      <c r="D700" s="36"/>
      <c r="E700" s="16"/>
      <c r="F700" s="198"/>
      <c r="G700" s="16"/>
      <c r="H700" s="16"/>
      <c r="I700" s="16"/>
      <c r="J700" s="16"/>
      <c r="K700" s="16"/>
    </row>
    <row r="701" ht="14.25" customHeight="1">
      <c r="B701" s="16"/>
      <c r="C701" s="198"/>
      <c r="D701" s="36"/>
      <c r="E701" s="16"/>
      <c r="F701" s="198"/>
      <c r="G701" s="16"/>
      <c r="H701" s="16"/>
      <c r="I701" s="16"/>
      <c r="J701" s="16"/>
      <c r="K701" s="16"/>
    </row>
    <row r="702" ht="14.25" customHeight="1">
      <c r="B702" s="16"/>
      <c r="C702" s="198"/>
      <c r="D702" s="36"/>
      <c r="E702" s="16"/>
      <c r="F702" s="198"/>
      <c r="G702" s="16"/>
      <c r="H702" s="16"/>
      <c r="I702" s="16"/>
      <c r="J702" s="16"/>
      <c r="K702" s="16"/>
    </row>
    <row r="703" ht="14.25" customHeight="1">
      <c r="B703" s="16"/>
      <c r="C703" s="198"/>
      <c r="D703" s="36"/>
      <c r="E703" s="16"/>
      <c r="F703" s="198"/>
      <c r="G703" s="16"/>
      <c r="H703" s="16"/>
      <c r="I703" s="16"/>
      <c r="J703" s="16"/>
      <c r="K703" s="16"/>
    </row>
    <row r="704" ht="14.25" customHeight="1">
      <c r="B704" s="16"/>
      <c r="C704" s="198"/>
      <c r="D704" s="36"/>
      <c r="E704" s="16"/>
      <c r="F704" s="198"/>
      <c r="G704" s="16"/>
      <c r="H704" s="16"/>
      <c r="I704" s="16"/>
      <c r="J704" s="16"/>
      <c r="K704" s="16"/>
    </row>
    <row r="705" ht="14.25" customHeight="1">
      <c r="B705" s="16"/>
      <c r="C705" s="198"/>
      <c r="D705" s="36"/>
      <c r="E705" s="16"/>
      <c r="F705" s="198"/>
      <c r="G705" s="16"/>
      <c r="H705" s="16"/>
      <c r="I705" s="16"/>
      <c r="J705" s="16"/>
      <c r="K705" s="16"/>
    </row>
    <row r="706" ht="14.25" customHeight="1">
      <c r="B706" s="16"/>
      <c r="C706" s="198"/>
      <c r="D706" s="36"/>
      <c r="E706" s="16"/>
      <c r="F706" s="198"/>
      <c r="G706" s="16"/>
      <c r="H706" s="16"/>
      <c r="I706" s="16"/>
      <c r="J706" s="16"/>
      <c r="K706" s="16"/>
    </row>
    <row r="707" ht="14.25" customHeight="1">
      <c r="B707" s="16"/>
      <c r="C707" s="198"/>
      <c r="D707" s="36"/>
      <c r="E707" s="16"/>
      <c r="F707" s="198"/>
      <c r="G707" s="16"/>
      <c r="H707" s="16"/>
      <c r="I707" s="16"/>
      <c r="J707" s="16"/>
      <c r="K707" s="16"/>
    </row>
    <row r="708" ht="14.25" customHeight="1">
      <c r="B708" s="16"/>
      <c r="C708" s="198"/>
      <c r="D708" s="36"/>
      <c r="E708" s="16"/>
      <c r="F708" s="198"/>
      <c r="G708" s="16"/>
      <c r="H708" s="16"/>
      <c r="I708" s="16"/>
      <c r="J708" s="16"/>
      <c r="K708" s="16"/>
    </row>
    <row r="709" ht="14.25" customHeight="1">
      <c r="B709" s="16"/>
      <c r="C709" s="198"/>
      <c r="D709" s="36"/>
      <c r="E709" s="16"/>
      <c r="F709" s="198"/>
      <c r="G709" s="16"/>
      <c r="H709" s="16"/>
      <c r="I709" s="16"/>
      <c r="J709" s="16"/>
      <c r="K709" s="16"/>
    </row>
    <row r="710" ht="14.25" customHeight="1">
      <c r="B710" s="16"/>
      <c r="C710" s="198"/>
      <c r="D710" s="36"/>
      <c r="E710" s="16"/>
      <c r="F710" s="198"/>
      <c r="G710" s="16"/>
      <c r="H710" s="16"/>
      <c r="I710" s="16"/>
      <c r="J710" s="16"/>
      <c r="K710" s="16"/>
    </row>
    <row r="711" ht="14.25" customHeight="1">
      <c r="B711" s="16"/>
      <c r="C711" s="198"/>
      <c r="D711" s="36"/>
      <c r="E711" s="16"/>
      <c r="F711" s="198"/>
      <c r="G711" s="16"/>
      <c r="H711" s="16"/>
      <c r="I711" s="16"/>
      <c r="J711" s="16"/>
      <c r="K711" s="16"/>
    </row>
    <row r="712" ht="14.25" customHeight="1">
      <c r="B712" s="16"/>
      <c r="C712" s="198"/>
      <c r="D712" s="36"/>
      <c r="E712" s="16"/>
      <c r="F712" s="198"/>
      <c r="G712" s="16"/>
      <c r="H712" s="16"/>
      <c r="I712" s="16"/>
      <c r="J712" s="16"/>
      <c r="K712" s="16"/>
    </row>
    <row r="713" ht="14.25" customHeight="1">
      <c r="B713" s="16"/>
      <c r="C713" s="198"/>
      <c r="D713" s="36"/>
      <c r="E713" s="16"/>
      <c r="F713" s="198"/>
      <c r="G713" s="16"/>
      <c r="H713" s="16"/>
      <c r="I713" s="16"/>
      <c r="J713" s="16"/>
      <c r="K713" s="16"/>
    </row>
    <row r="714" ht="14.25" customHeight="1">
      <c r="B714" s="16"/>
      <c r="C714" s="198"/>
      <c r="D714" s="36"/>
      <c r="E714" s="16"/>
      <c r="F714" s="198"/>
      <c r="G714" s="16"/>
      <c r="H714" s="16"/>
      <c r="I714" s="16"/>
      <c r="J714" s="16"/>
      <c r="K714" s="16"/>
    </row>
    <row r="715" ht="14.25" customHeight="1">
      <c r="B715" s="16"/>
      <c r="C715" s="198"/>
      <c r="D715" s="36"/>
      <c r="E715" s="16"/>
      <c r="F715" s="198"/>
      <c r="G715" s="16"/>
      <c r="H715" s="16"/>
      <c r="I715" s="16"/>
      <c r="J715" s="16"/>
      <c r="K715" s="16"/>
    </row>
    <row r="716" ht="14.25" customHeight="1">
      <c r="B716" s="16"/>
      <c r="C716" s="198"/>
      <c r="D716" s="36"/>
      <c r="E716" s="16"/>
      <c r="F716" s="198"/>
      <c r="G716" s="16"/>
      <c r="H716" s="16"/>
      <c r="I716" s="16"/>
      <c r="J716" s="16"/>
      <c r="K716" s="16"/>
    </row>
    <row r="717" ht="14.25" customHeight="1">
      <c r="B717" s="16"/>
      <c r="C717" s="198"/>
      <c r="D717" s="36"/>
      <c r="E717" s="16"/>
      <c r="F717" s="198"/>
      <c r="G717" s="16"/>
      <c r="H717" s="16"/>
      <c r="I717" s="16"/>
      <c r="J717" s="16"/>
      <c r="K717" s="16"/>
    </row>
    <row r="718" ht="14.25" customHeight="1">
      <c r="B718" s="16"/>
      <c r="C718" s="198"/>
      <c r="D718" s="36"/>
      <c r="E718" s="16"/>
      <c r="F718" s="198"/>
      <c r="G718" s="16"/>
      <c r="H718" s="16"/>
      <c r="I718" s="16"/>
      <c r="J718" s="16"/>
      <c r="K718" s="16"/>
    </row>
    <row r="719" ht="14.25" customHeight="1">
      <c r="B719" s="16"/>
      <c r="C719" s="198"/>
      <c r="D719" s="36"/>
      <c r="E719" s="16"/>
      <c r="F719" s="198"/>
      <c r="G719" s="16"/>
      <c r="H719" s="16"/>
      <c r="I719" s="16"/>
      <c r="J719" s="16"/>
      <c r="K719" s="16"/>
    </row>
    <row r="720" ht="14.25" customHeight="1">
      <c r="B720" s="16"/>
      <c r="C720" s="198"/>
      <c r="D720" s="36"/>
      <c r="E720" s="16"/>
      <c r="F720" s="198"/>
      <c r="G720" s="16"/>
      <c r="H720" s="16"/>
      <c r="I720" s="16"/>
      <c r="J720" s="16"/>
      <c r="K720" s="16"/>
    </row>
    <row r="721" ht="14.25" customHeight="1">
      <c r="B721" s="16"/>
      <c r="C721" s="198"/>
      <c r="D721" s="36"/>
      <c r="E721" s="16"/>
      <c r="F721" s="198"/>
      <c r="G721" s="16"/>
      <c r="H721" s="16"/>
      <c r="I721" s="16"/>
      <c r="J721" s="16"/>
      <c r="K721" s="16"/>
    </row>
    <row r="722" ht="14.25" customHeight="1">
      <c r="B722" s="16"/>
      <c r="C722" s="198"/>
      <c r="D722" s="36"/>
      <c r="E722" s="16"/>
      <c r="F722" s="198"/>
      <c r="G722" s="16"/>
      <c r="H722" s="16"/>
      <c r="I722" s="16"/>
      <c r="J722" s="16"/>
      <c r="K722" s="16"/>
    </row>
    <row r="723" ht="14.25" customHeight="1">
      <c r="B723" s="16"/>
      <c r="C723" s="198"/>
      <c r="D723" s="36"/>
      <c r="E723" s="16"/>
      <c r="F723" s="198"/>
      <c r="G723" s="16"/>
      <c r="H723" s="16"/>
      <c r="I723" s="16"/>
      <c r="J723" s="16"/>
      <c r="K723" s="16"/>
    </row>
    <row r="724" ht="14.25" customHeight="1">
      <c r="B724" s="16"/>
      <c r="C724" s="198"/>
      <c r="D724" s="36"/>
      <c r="E724" s="16"/>
      <c r="F724" s="198"/>
      <c r="G724" s="16"/>
      <c r="H724" s="16"/>
      <c r="I724" s="16"/>
      <c r="J724" s="16"/>
      <c r="K724" s="16"/>
    </row>
    <row r="725" ht="14.25" customHeight="1">
      <c r="B725" s="16"/>
      <c r="C725" s="198"/>
      <c r="D725" s="36"/>
      <c r="E725" s="16"/>
      <c r="F725" s="198"/>
      <c r="G725" s="16"/>
      <c r="H725" s="16"/>
      <c r="I725" s="16"/>
      <c r="J725" s="16"/>
      <c r="K725" s="16"/>
    </row>
    <row r="726" ht="14.25" customHeight="1">
      <c r="B726" s="16"/>
      <c r="C726" s="198"/>
      <c r="D726" s="36"/>
      <c r="E726" s="16"/>
      <c r="F726" s="198"/>
      <c r="G726" s="16"/>
      <c r="H726" s="16"/>
      <c r="I726" s="16"/>
      <c r="J726" s="16"/>
      <c r="K726" s="16"/>
    </row>
    <row r="727" ht="14.25" customHeight="1">
      <c r="B727" s="16"/>
      <c r="C727" s="198"/>
      <c r="D727" s="36"/>
      <c r="E727" s="16"/>
      <c r="F727" s="198"/>
      <c r="G727" s="16"/>
      <c r="H727" s="16"/>
      <c r="I727" s="16"/>
      <c r="J727" s="16"/>
      <c r="K727" s="16"/>
    </row>
    <row r="728" ht="14.25" customHeight="1">
      <c r="B728" s="16"/>
      <c r="C728" s="198"/>
      <c r="D728" s="36"/>
      <c r="E728" s="16"/>
      <c r="F728" s="198"/>
      <c r="G728" s="16"/>
      <c r="H728" s="16"/>
      <c r="I728" s="16"/>
      <c r="J728" s="16"/>
      <c r="K728" s="16"/>
    </row>
    <row r="729" ht="14.25" customHeight="1">
      <c r="B729" s="16"/>
      <c r="C729" s="198"/>
      <c r="D729" s="36"/>
      <c r="E729" s="16"/>
      <c r="F729" s="198"/>
      <c r="G729" s="16"/>
      <c r="H729" s="16"/>
      <c r="I729" s="16"/>
      <c r="J729" s="16"/>
      <c r="K729" s="16"/>
    </row>
    <row r="730" ht="14.25" customHeight="1">
      <c r="B730" s="16"/>
      <c r="C730" s="198"/>
      <c r="D730" s="36"/>
      <c r="E730" s="16"/>
      <c r="F730" s="198"/>
      <c r="G730" s="16"/>
      <c r="H730" s="16"/>
      <c r="I730" s="16"/>
      <c r="J730" s="16"/>
      <c r="K730" s="16"/>
    </row>
    <row r="731" ht="14.25" customHeight="1">
      <c r="B731" s="16"/>
      <c r="C731" s="198"/>
      <c r="D731" s="36"/>
      <c r="E731" s="16"/>
      <c r="F731" s="198"/>
      <c r="G731" s="16"/>
      <c r="H731" s="16"/>
      <c r="I731" s="16"/>
      <c r="J731" s="16"/>
      <c r="K731" s="16"/>
    </row>
    <row r="732" ht="14.25" customHeight="1">
      <c r="B732" s="16"/>
      <c r="C732" s="198"/>
      <c r="D732" s="36"/>
      <c r="E732" s="16"/>
      <c r="F732" s="198"/>
      <c r="G732" s="16"/>
      <c r="H732" s="16"/>
      <c r="I732" s="16"/>
      <c r="J732" s="16"/>
      <c r="K732" s="16"/>
    </row>
    <row r="733" ht="14.25" customHeight="1">
      <c r="B733" s="16"/>
      <c r="C733" s="198"/>
      <c r="D733" s="36"/>
      <c r="E733" s="16"/>
      <c r="F733" s="198"/>
      <c r="G733" s="16"/>
      <c r="H733" s="16"/>
      <c r="I733" s="16"/>
      <c r="J733" s="16"/>
      <c r="K733" s="16"/>
    </row>
    <row r="734" ht="14.25" customHeight="1">
      <c r="B734" s="16"/>
      <c r="C734" s="198"/>
      <c r="D734" s="36"/>
      <c r="E734" s="16"/>
      <c r="F734" s="198"/>
      <c r="G734" s="16"/>
      <c r="H734" s="16"/>
      <c r="I734" s="16"/>
      <c r="J734" s="16"/>
      <c r="K734" s="16"/>
    </row>
    <row r="735" ht="14.25" customHeight="1">
      <c r="B735" s="16"/>
      <c r="C735" s="198"/>
      <c r="D735" s="36"/>
      <c r="E735" s="16"/>
      <c r="F735" s="198"/>
      <c r="G735" s="16"/>
      <c r="H735" s="16"/>
      <c r="I735" s="16"/>
      <c r="J735" s="16"/>
      <c r="K735" s="16"/>
    </row>
    <row r="736" ht="14.25" customHeight="1">
      <c r="B736" s="16"/>
      <c r="C736" s="198"/>
      <c r="D736" s="36"/>
      <c r="E736" s="16"/>
      <c r="F736" s="198"/>
      <c r="G736" s="16"/>
      <c r="H736" s="16"/>
      <c r="I736" s="16"/>
      <c r="J736" s="16"/>
      <c r="K736" s="16"/>
    </row>
    <row r="737" ht="14.25" customHeight="1">
      <c r="B737" s="16"/>
      <c r="C737" s="198"/>
      <c r="D737" s="36"/>
      <c r="E737" s="16"/>
      <c r="F737" s="198"/>
      <c r="G737" s="16"/>
      <c r="H737" s="16"/>
      <c r="I737" s="16"/>
      <c r="J737" s="16"/>
      <c r="K737" s="16"/>
    </row>
    <row r="738" ht="14.25" customHeight="1">
      <c r="B738" s="16"/>
      <c r="C738" s="198"/>
      <c r="D738" s="36"/>
      <c r="E738" s="16"/>
      <c r="F738" s="198"/>
      <c r="G738" s="16"/>
      <c r="H738" s="16"/>
      <c r="I738" s="16"/>
      <c r="J738" s="16"/>
      <c r="K738" s="16"/>
    </row>
    <row r="739" ht="14.25" customHeight="1">
      <c r="B739" s="16"/>
      <c r="C739" s="198"/>
      <c r="D739" s="36"/>
      <c r="E739" s="16"/>
      <c r="F739" s="198"/>
      <c r="G739" s="16"/>
      <c r="H739" s="16"/>
      <c r="I739" s="16"/>
      <c r="J739" s="16"/>
      <c r="K739" s="16"/>
    </row>
    <row r="740" ht="14.25" customHeight="1">
      <c r="B740" s="16"/>
      <c r="C740" s="198"/>
      <c r="D740" s="36"/>
      <c r="E740" s="16"/>
      <c r="F740" s="198"/>
      <c r="G740" s="16"/>
      <c r="H740" s="16"/>
      <c r="I740" s="16"/>
      <c r="J740" s="16"/>
      <c r="K740" s="16"/>
    </row>
    <row r="741" ht="14.25" customHeight="1">
      <c r="B741" s="16"/>
      <c r="C741" s="198"/>
      <c r="D741" s="36"/>
      <c r="E741" s="16"/>
      <c r="F741" s="198"/>
      <c r="G741" s="16"/>
      <c r="H741" s="16"/>
      <c r="I741" s="16"/>
      <c r="J741" s="16"/>
      <c r="K741" s="16"/>
    </row>
    <row r="742" ht="14.25" customHeight="1">
      <c r="B742" s="16"/>
      <c r="C742" s="198"/>
      <c r="D742" s="36"/>
      <c r="E742" s="16"/>
      <c r="F742" s="198"/>
      <c r="G742" s="16"/>
      <c r="H742" s="16"/>
      <c r="I742" s="16"/>
      <c r="J742" s="16"/>
      <c r="K742" s="16"/>
    </row>
    <row r="743" ht="14.25" customHeight="1">
      <c r="B743" s="16"/>
      <c r="C743" s="198"/>
      <c r="D743" s="36"/>
      <c r="E743" s="16"/>
      <c r="F743" s="198"/>
      <c r="G743" s="16"/>
      <c r="H743" s="16"/>
      <c r="I743" s="16"/>
      <c r="J743" s="16"/>
      <c r="K743" s="16"/>
    </row>
    <row r="744" ht="14.25" customHeight="1">
      <c r="B744" s="16"/>
      <c r="C744" s="198"/>
      <c r="D744" s="36"/>
      <c r="E744" s="16"/>
      <c r="F744" s="198"/>
      <c r="G744" s="16"/>
      <c r="H744" s="16"/>
      <c r="I744" s="16"/>
      <c r="J744" s="16"/>
      <c r="K744" s="16"/>
    </row>
    <row r="745" ht="14.25" customHeight="1">
      <c r="B745" s="16"/>
      <c r="C745" s="198"/>
      <c r="D745" s="36"/>
      <c r="E745" s="16"/>
      <c r="F745" s="198"/>
      <c r="G745" s="16"/>
      <c r="H745" s="16"/>
      <c r="I745" s="16"/>
      <c r="J745" s="16"/>
      <c r="K745" s="16"/>
    </row>
    <row r="746" ht="14.25" customHeight="1">
      <c r="B746" s="16"/>
      <c r="C746" s="198"/>
      <c r="D746" s="36"/>
      <c r="E746" s="16"/>
      <c r="F746" s="198"/>
      <c r="G746" s="16"/>
      <c r="H746" s="16"/>
      <c r="I746" s="16"/>
      <c r="J746" s="16"/>
      <c r="K746" s="16"/>
    </row>
    <row r="747" ht="14.25" customHeight="1">
      <c r="B747" s="16"/>
      <c r="C747" s="198"/>
      <c r="D747" s="36"/>
      <c r="E747" s="16"/>
      <c r="F747" s="198"/>
      <c r="G747" s="16"/>
      <c r="H747" s="16"/>
      <c r="I747" s="16"/>
      <c r="J747" s="16"/>
      <c r="K747" s="16"/>
    </row>
    <row r="748" ht="14.25" customHeight="1">
      <c r="B748" s="16"/>
      <c r="C748" s="198"/>
      <c r="D748" s="36"/>
      <c r="E748" s="16"/>
      <c r="F748" s="198"/>
      <c r="G748" s="16"/>
      <c r="H748" s="16"/>
      <c r="I748" s="16"/>
      <c r="J748" s="16"/>
      <c r="K748" s="16"/>
    </row>
    <row r="749" ht="14.25" customHeight="1">
      <c r="B749" s="16"/>
      <c r="C749" s="198"/>
      <c r="D749" s="36"/>
      <c r="E749" s="16"/>
      <c r="F749" s="198"/>
      <c r="G749" s="16"/>
      <c r="H749" s="16"/>
      <c r="I749" s="16"/>
      <c r="J749" s="16"/>
      <c r="K749" s="16"/>
    </row>
    <row r="750" ht="14.25" customHeight="1">
      <c r="B750" s="16"/>
      <c r="C750" s="198"/>
      <c r="D750" s="36"/>
      <c r="E750" s="16"/>
      <c r="F750" s="198"/>
      <c r="G750" s="16"/>
      <c r="H750" s="16"/>
      <c r="I750" s="16"/>
      <c r="J750" s="16"/>
      <c r="K750" s="16"/>
    </row>
    <row r="751" ht="14.25" customHeight="1">
      <c r="B751" s="16"/>
      <c r="C751" s="198"/>
      <c r="D751" s="36"/>
      <c r="E751" s="16"/>
      <c r="F751" s="198"/>
      <c r="G751" s="16"/>
      <c r="H751" s="16"/>
      <c r="I751" s="16"/>
      <c r="J751" s="16"/>
      <c r="K751" s="16"/>
    </row>
    <row r="752" ht="14.25" customHeight="1">
      <c r="B752" s="16"/>
      <c r="C752" s="198"/>
      <c r="D752" s="36"/>
      <c r="E752" s="16"/>
      <c r="F752" s="198"/>
      <c r="G752" s="16"/>
      <c r="H752" s="16"/>
      <c r="I752" s="16"/>
      <c r="J752" s="16"/>
      <c r="K752" s="16"/>
    </row>
    <row r="753" ht="14.25" customHeight="1">
      <c r="B753" s="16"/>
      <c r="C753" s="198"/>
      <c r="D753" s="36"/>
      <c r="E753" s="16"/>
      <c r="F753" s="198"/>
      <c r="G753" s="16"/>
      <c r="H753" s="16"/>
      <c r="I753" s="16"/>
      <c r="J753" s="16"/>
      <c r="K753" s="16"/>
    </row>
    <row r="754" ht="14.25" customHeight="1">
      <c r="B754" s="16"/>
      <c r="C754" s="198"/>
      <c r="D754" s="36"/>
      <c r="E754" s="16"/>
      <c r="F754" s="198"/>
      <c r="G754" s="16"/>
      <c r="H754" s="16"/>
      <c r="I754" s="16"/>
      <c r="J754" s="16"/>
      <c r="K754" s="16"/>
    </row>
    <row r="755" ht="14.25" customHeight="1">
      <c r="B755" s="16"/>
      <c r="C755" s="198"/>
      <c r="D755" s="36"/>
      <c r="E755" s="16"/>
      <c r="F755" s="198"/>
      <c r="G755" s="16"/>
      <c r="H755" s="16"/>
      <c r="I755" s="16"/>
      <c r="J755" s="16"/>
      <c r="K755" s="16"/>
    </row>
    <row r="756" ht="14.25" customHeight="1">
      <c r="B756" s="16"/>
      <c r="C756" s="198"/>
      <c r="D756" s="36"/>
      <c r="E756" s="16"/>
      <c r="F756" s="198"/>
      <c r="G756" s="16"/>
      <c r="H756" s="16"/>
      <c r="I756" s="16"/>
      <c r="J756" s="16"/>
      <c r="K756" s="16"/>
    </row>
    <row r="757" ht="14.25" customHeight="1">
      <c r="B757" s="16"/>
      <c r="C757" s="198"/>
      <c r="D757" s="36"/>
      <c r="E757" s="16"/>
      <c r="F757" s="198"/>
      <c r="G757" s="16"/>
      <c r="H757" s="16"/>
      <c r="I757" s="16"/>
      <c r="J757" s="16"/>
      <c r="K757" s="16"/>
    </row>
    <row r="758" ht="14.25" customHeight="1">
      <c r="B758" s="16"/>
      <c r="C758" s="198"/>
      <c r="D758" s="36"/>
      <c r="E758" s="16"/>
      <c r="F758" s="198"/>
      <c r="G758" s="16"/>
      <c r="H758" s="16"/>
      <c r="I758" s="16"/>
      <c r="J758" s="16"/>
      <c r="K758" s="16"/>
    </row>
    <row r="759" ht="14.25" customHeight="1">
      <c r="B759" s="16"/>
      <c r="C759" s="198"/>
      <c r="D759" s="36"/>
      <c r="E759" s="16"/>
      <c r="F759" s="198"/>
      <c r="G759" s="16"/>
      <c r="H759" s="16"/>
      <c r="I759" s="16"/>
      <c r="J759" s="16"/>
      <c r="K759" s="16"/>
    </row>
    <row r="760" ht="14.25" customHeight="1">
      <c r="B760" s="16"/>
      <c r="C760" s="198"/>
      <c r="D760" s="36"/>
      <c r="E760" s="16"/>
      <c r="F760" s="198"/>
      <c r="G760" s="16"/>
      <c r="H760" s="16"/>
      <c r="I760" s="16"/>
      <c r="J760" s="16"/>
      <c r="K760" s="16"/>
    </row>
    <row r="761" ht="14.25" customHeight="1">
      <c r="B761" s="16"/>
      <c r="C761" s="198"/>
      <c r="D761" s="36"/>
      <c r="E761" s="16"/>
      <c r="F761" s="198"/>
      <c r="G761" s="16"/>
      <c r="H761" s="16"/>
      <c r="I761" s="16"/>
      <c r="J761" s="16"/>
      <c r="K761" s="16"/>
    </row>
    <row r="762" ht="14.25" customHeight="1">
      <c r="B762" s="16"/>
      <c r="C762" s="198"/>
      <c r="D762" s="36"/>
      <c r="E762" s="16"/>
      <c r="F762" s="198"/>
      <c r="G762" s="16"/>
      <c r="H762" s="16"/>
      <c r="I762" s="16"/>
      <c r="J762" s="16"/>
      <c r="K762" s="16"/>
    </row>
    <row r="763" ht="14.25" customHeight="1">
      <c r="B763" s="16"/>
      <c r="C763" s="198"/>
      <c r="D763" s="36"/>
      <c r="E763" s="16"/>
      <c r="F763" s="198"/>
      <c r="G763" s="16"/>
      <c r="H763" s="16"/>
      <c r="I763" s="16"/>
      <c r="J763" s="16"/>
      <c r="K763" s="16"/>
    </row>
    <row r="764" ht="14.25" customHeight="1">
      <c r="B764" s="16"/>
      <c r="C764" s="198"/>
      <c r="D764" s="36"/>
      <c r="E764" s="16"/>
      <c r="F764" s="198"/>
      <c r="G764" s="16"/>
      <c r="H764" s="16"/>
      <c r="I764" s="16"/>
      <c r="J764" s="16"/>
      <c r="K764" s="16"/>
    </row>
    <row r="765" ht="14.25" customHeight="1">
      <c r="B765" s="16"/>
      <c r="C765" s="198"/>
      <c r="D765" s="36"/>
      <c r="E765" s="16"/>
      <c r="F765" s="198"/>
      <c r="G765" s="16"/>
      <c r="H765" s="16"/>
      <c r="I765" s="16"/>
      <c r="J765" s="16"/>
      <c r="K765" s="16"/>
    </row>
    <row r="766" ht="14.25" customHeight="1">
      <c r="B766" s="16"/>
      <c r="C766" s="198"/>
      <c r="D766" s="36"/>
      <c r="E766" s="16"/>
      <c r="F766" s="198"/>
      <c r="G766" s="16"/>
      <c r="H766" s="16"/>
      <c r="I766" s="16"/>
      <c r="J766" s="16"/>
      <c r="K766" s="16"/>
    </row>
    <row r="767" ht="14.25" customHeight="1">
      <c r="B767" s="16"/>
      <c r="C767" s="198"/>
      <c r="D767" s="36"/>
      <c r="E767" s="16"/>
      <c r="F767" s="198"/>
      <c r="G767" s="16"/>
      <c r="H767" s="16"/>
      <c r="I767" s="16"/>
      <c r="J767" s="16"/>
      <c r="K767" s="16"/>
    </row>
    <row r="768" ht="14.25" customHeight="1">
      <c r="B768" s="16"/>
      <c r="C768" s="198"/>
      <c r="D768" s="36"/>
      <c r="E768" s="16"/>
      <c r="F768" s="198"/>
      <c r="G768" s="16"/>
      <c r="H768" s="16"/>
      <c r="I768" s="16"/>
      <c r="J768" s="16"/>
      <c r="K768" s="16"/>
    </row>
    <row r="769" ht="14.25" customHeight="1">
      <c r="B769" s="16"/>
      <c r="C769" s="198"/>
      <c r="D769" s="36"/>
      <c r="E769" s="16"/>
      <c r="F769" s="198"/>
      <c r="G769" s="16"/>
      <c r="H769" s="16"/>
      <c r="I769" s="16"/>
      <c r="J769" s="16"/>
      <c r="K769" s="16"/>
    </row>
    <row r="770" ht="14.25" customHeight="1">
      <c r="B770" s="16"/>
      <c r="C770" s="198"/>
      <c r="D770" s="36"/>
      <c r="E770" s="16"/>
      <c r="F770" s="198"/>
      <c r="G770" s="16"/>
      <c r="H770" s="16"/>
      <c r="I770" s="16"/>
      <c r="J770" s="16"/>
      <c r="K770" s="16"/>
    </row>
    <row r="771" ht="14.25" customHeight="1">
      <c r="B771" s="16"/>
      <c r="C771" s="198"/>
      <c r="D771" s="36"/>
      <c r="E771" s="16"/>
      <c r="F771" s="198"/>
      <c r="G771" s="16"/>
      <c r="H771" s="16"/>
      <c r="I771" s="16"/>
      <c r="J771" s="16"/>
      <c r="K771" s="16"/>
    </row>
    <row r="772" ht="14.25" customHeight="1">
      <c r="B772" s="16"/>
      <c r="C772" s="198"/>
      <c r="D772" s="36"/>
      <c r="E772" s="16"/>
      <c r="F772" s="198"/>
      <c r="G772" s="16"/>
      <c r="H772" s="16"/>
      <c r="I772" s="16"/>
      <c r="J772" s="16"/>
      <c r="K772" s="16"/>
    </row>
    <row r="773" ht="14.25" customHeight="1">
      <c r="B773" s="16"/>
      <c r="C773" s="198"/>
      <c r="D773" s="36"/>
      <c r="E773" s="16"/>
      <c r="F773" s="198"/>
      <c r="G773" s="16"/>
      <c r="H773" s="16"/>
      <c r="I773" s="16"/>
      <c r="J773" s="16"/>
      <c r="K773" s="16"/>
    </row>
    <row r="774" ht="14.25" customHeight="1">
      <c r="B774" s="16"/>
      <c r="C774" s="198"/>
      <c r="D774" s="36"/>
      <c r="E774" s="16"/>
      <c r="F774" s="198"/>
      <c r="G774" s="16"/>
      <c r="H774" s="16"/>
      <c r="I774" s="16"/>
      <c r="J774" s="16"/>
      <c r="K774" s="16"/>
    </row>
    <row r="775" ht="14.25" customHeight="1">
      <c r="B775" s="16"/>
      <c r="C775" s="198"/>
      <c r="D775" s="36"/>
      <c r="E775" s="16"/>
      <c r="F775" s="198"/>
      <c r="G775" s="16"/>
      <c r="H775" s="16"/>
      <c r="I775" s="16"/>
      <c r="J775" s="16"/>
      <c r="K775" s="16"/>
    </row>
    <row r="776" ht="14.25" customHeight="1">
      <c r="B776" s="16"/>
      <c r="C776" s="198"/>
      <c r="D776" s="36"/>
      <c r="E776" s="16"/>
      <c r="F776" s="198"/>
      <c r="G776" s="16"/>
      <c r="H776" s="16"/>
      <c r="I776" s="16"/>
      <c r="J776" s="16"/>
      <c r="K776" s="16"/>
    </row>
    <row r="777" ht="14.25" customHeight="1">
      <c r="B777" s="16"/>
      <c r="C777" s="198"/>
      <c r="D777" s="36"/>
      <c r="E777" s="16"/>
      <c r="F777" s="198"/>
      <c r="G777" s="16"/>
      <c r="H777" s="16"/>
      <c r="I777" s="16"/>
      <c r="J777" s="16"/>
      <c r="K777" s="16"/>
    </row>
    <row r="778" ht="14.25" customHeight="1">
      <c r="B778" s="16"/>
      <c r="C778" s="198"/>
      <c r="D778" s="36"/>
      <c r="E778" s="16"/>
      <c r="F778" s="198"/>
      <c r="G778" s="16"/>
      <c r="H778" s="16"/>
      <c r="I778" s="16"/>
      <c r="J778" s="16"/>
      <c r="K778" s="16"/>
    </row>
    <row r="779" ht="14.25" customHeight="1">
      <c r="B779" s="16"/>
      <c r="C779" s="198"/>
      <c r="D779" s="36"/>
      <c r="E779" s="16"/>
      <c r="F779" s="198"/>
      <c r="G779" s="16"/>
      <c r="H779" s="16"/>
      <c r="I779" s="16"/>
      <c r="J779" s="16"/>
      <c r="K779" s="16"/>
    </row>
    <row r="780" ht="14.25" customHeight="1">
      <c r="B780" s="16"/>
      <c r="C780" s="198"/>
      <c r="D780" s="36"/>
      <c r="E780" s="16"/>
      <c r="F780" s="198"/>
      <c r="G780" s="16"/>
      <c r="H780" s="16"/>
      <c r="I780" s="16"/>
      <c r="J780" s="16"/>
      <c r="K780" s="16"/>
    </row>
    <row r="781" ht="14.25" customHeight="1">
      <c r="B781" s="16"/>
      <c r="C781" s="198"/>
      <c r="D781" s="36"/>
      <c r="E781" s="16"/>
      <c r="F781" s="198"/>
      <c r="G781" s="16"/>
      <c r="H781" s="16"/>
      <c r="I781" s="16"/>
      <c r="J781" s="16"/>
      <c r="K781" s="16"/>
    </row>
    <row r="782" ht="14.25" customHeight="1">
      <c r="B782" s="16"/>
      <c r="C782" s="198"/>
      <c r="D782" s="36"/>
      <c r="E782" s="16"/>
      <c r="F782" s="198"/>
      <c r="G782" s="16"/>
      <c r="H782" s="16"/>
      <c r="I782" s="16"/>
      <c r="J782" s="16"/>
      <c r="K782" s="16"/>
    </row>
    <row r="783" ht="14.25" customHeight="1">
      <c r="B783" s="16"/>
      <c r="C783" s="198"/>
      <c r="D783" s="36"/>
      <c r="E783" s="16"/>
      <c r="F783" s="198"/>
      <c r="G783" s="16"/>
      <c r="H783" s="16"/>
      <c r="I783" s="16"/>
      <c r="J783" s="16"/>
      <c r="K783" s="16"/>
    </row>
    <row r="784" ht="14.25" customHeight="1">
      <c r="B784" s="16"/>
      <c r="C784" s="198"/>
      <c r="D784" s="36"/>
      <c r="E784" s="16"/>
      <c r="F784" s="198"/>
      <c r="G784" s="16"/>
      <c r="H784" s="16"/>
      <c r="I784" s="16"/>
      <c r="J784" s="16"/>
      <c r="K784" s="16"/>
    </row>
    <row r="785" ht="14.25" customHeight="1">
      <c r="B785" s="16"/>
      <c r="C785" s="198"/>
      <c r="D785" s="36"/>
      <c r="E785" s="16"/>
      <c r="F785" s="198"/>
      <c r="G785" s="16"/>
      <c r="H785" s="16"/>
      <c r="I785" s="16"/>
      <c r="J785" s="16"/>
      <c r="K785" s="16"/>
    </row>
    <row r="786" ht="14.25" customHeight="1">
      <c r="B786" s="16"/>
      <c r="C786" s="198"/>
      <c r="D786" s="36"/>
      <c r="E786" s="16"/>
      <c r="F786" s="198"/>
      <c r="G786" s="16"/>
      <c r="H786" s="16"/>
      <c r="I786" s="16"/>
      <c r="J786" s="16"/>
      <c r="K786" s="16"/>
    </row>
    <row r="787" ht="14.25" customHeight="1">
      <c r="B787" s="16"/>
      <c r="C787" s="198"/>
      <c r="D787" s="36"/>
      <c r="E787" s="16"/>
      <c r="F787" s="198"/>
      <c r="G787" s="16"/>
      <c r="H787" s="16"/>
      <c r="I787" s="16"/>
      <c r="J787" s="16"/>
      <c r="K787" s="16"/>
    </row>
    <row r="788" ht="14.25" customHeight="1">
      <c r="B788" s="16"/>
      <c r="C788" s="198"/>
      <c r="D788" s="36"/>
      <c r="E788" s="16"/>
      <c r="F788" s="198"/>
      <c r="G788" s="16"/>
      <c r="H788" s="16"/>
      <c r="I788" s="16"/>
      <c r="J788" s="16"/>
      <c r="K788" s="16"/>
    </row>
    <row r="789" ht="14.25" customHeight="1">
      <c r="B789" s="16"/>
      <c r="C789" s="198"/>
      <c r="D789" s="36"/>
      <c r="E789" s="16"/>
      <c r="F789" s="198"/>
      <c r="G789" s="16"/>
      <c r="H789" s="16"/>
      <c r="I789" s="16"/>
      <c r="J789" s="16"/>
      <c r="K789" s="16"/>
    </row>
    <row r="790" ht="14.25" customHeight="1">
      <c r="B790" s="16"/>
      <c r="C790" s="198"/>
      <c r="D790" s="36"/>
      <c r="E790" s="16"/>
      <c r="F790" s="198"/>
      <c r="G790" s="16"/>
      <c r="H790" s="16"/>
      <c r="I790" s="16"/>
      <c r="J790" s="16"/>
      <c r="K790" s="16"/>
    </row>
    <row r="791" ht="14.25" customHeight="1">
      <c r="B791" s="16"/>
      <c r="C791" s="198"/>
      <c r="D791" s="36"/>
      <c r="E791" s="16"/>
      <c r="F791" s="198"/>
      <c r="G791" s="16"/>
      <c r="H791" s="16"/>
      <c r="I791" s="16"/>
      <c r="J791" s="16"/>
      <c r="K791" s="16"/>
    </row>
    <row r="792" ht="14.25" customHeight="1">
      <c r="B792" s="16"/>
      <c r="C792" s="198"/>
      <c r="D792" s="36"/>
      <c r="E792" s="16"/>
      <c r="F792" s="198"/>
      <c r="G792" s="16"/>
      <c r="H792" s="16"/>
      <c r="I792" s="16"/>
      <c r="J792" s="16"/>
      <c r="K792" s="16"/>
    </row>
    <row r="793" ht="14.25" customHeight="1">
      <c r="B793" s="16"/>
      <c r="C793" s="198"/>
      <c r="D793" s="36"/>
      <c r="E793" s="16"/>
      <c r="F793" s="198"/>
      <c r="G793" s="16"/>
      <c r="H793" s="16"/>
      <c r="I793" s="16"/>
      <c r="J793" s="16"/>
      <c r="K793" s="16"/>
    </row>
    <row r="794" ht="14.25" customHeight="1">
      <c r="B794" s="16"/>
      <c r="C794" s="198"/>
      <c r="D794" s="36"/>
      <c r="E794" s="16"/>
      <c r="F794" s="198"/>
      <c r="G794" s="16"/>
      <c r="H794" s="16"/>
      <c r="I794" s="16"/>
      <c r="J794" s="16"/>
      <c r="K794" s="16"/>
    </row>
    <row r="795" ht="14.25" customHeight="1">
      <c r="B795" s="16"/>
      <c r="C795" s="198"/>
      <c r="D795" s="36"/>
      <c r="E795" s="16"/>
      <c r="F795" s="198"/>
      <c r="G795" s="16"/>
      <c r="H795" s="16"/>
      <c r="I795" s="16"/>
      <c r="J795" s="16"/>
      <c r="K795" s="16"/>
    </row>
    <row r="796" ht="14.25" customHeight="1">
      <c r="B796" s="16"/>
      <c r="C796" s="198"/>
      <c r="D796" s="36"/>
      <c r="E796" s="16"/>
      <c r="F796" s="198"/>
      <c r="G796" s="16"/>
      <c r="H796" s="16"/>
      <c r="I796" s="16"/>
      <c r="J796" s="16"/>
      <c r="K796" s="16"/>
    </row>
    <row r="797" ht="14.25" customHeight="1">
      <c r="B797" s="16"/>
      <c r="C797" s="198"/>
      <c r="D797" s="36"/>
      <c r="E797" s="16"/>
      <c r="F797" s="198"/>
      <c r="G797" s="16"/>
      <c r="H797" s="16"/>
      <c r="I797" s="16"/>
      <c r="J797" s="16"/>
      <c r="K797" s="16"/>
    </row>
    <row r="798" ht="14.25" customHeight="1">
      <c r="B798" s="16"/>
      <c r="C798" s="198"/>
      <c r="D798" s="36"/>
      <c r="E798" s="16"/>
      <c r="F798" s="198"/>
      <c r="G798" s="16"/>
      <c r="H798" s="16"/>
      <c r="I798" s="16"/>
      <c r="J798" s="16"/>
      <c r="K798" s="16"/>
    </row>
    <row r="799" ht="14.25" customHeight="1">
      <c r="B799" s="16"/>
      <c r="C799" s="198"/>
      <c r="D799" s="36"/>
      <c r="E799" s="16"/>
      <c r="F799" s="198"/>
      <c r="G799" s="16"/>
      <c r="H799" s="16"/>
      <c r="I799" s="16"/>
      <c r="J799" s="16"/>
      <c r="K799" s="16"/>
    </row>
    <row r="800" ht="14.25" customHeight="1">
      <c r="B800" s="16"/>
      <c r="C800" s="198"/>
      <c r="D800" s="36"/>
      <c r="E800" s="16"/>
      <c r="F800" s="198"/>
      <c r="G800" s="16"/>
      <c r="H800" s="16"/>
      <c r="I800" s="16"/>
      <c r="J800" s="16"/>
      <c r="K800" s="16"/>
    </row>
    <row r="801" ht="14.25" customHeight="1">
      <c r="B801" s="16"/>
      <c r="C801" s="198"/>
      <c r="D801" s="36"/>
      <c r="E801" s="16"/>
      <c r="F801" s="198"/>
      <c r="G801" s="16"/>
      <c r="H801" s="16"/>
      <c r="I801" s="16"/>
      <c r="J801" s="16"/>
      <c r="K801" s="16"/>
    </row>
    <row r="802" ht="14.25" customHeight="1">
      <c r="B802" s="16"/>
      <c r="C802" s="198"/>
      <c r="D802" s="36"/>
      <c r="E802" s="16"/>
      <c r="F802" s="198"/>
      <c r="G802" s="16"/>
      <c r="H802" s="16"/>
      <c r="I802" s="16"/>
      <c r="J802" s="16"/>
      <c r="K802" s="16"/>
    </row>
    <row r="803" ht="14.25" customHeight="1">
      <c r="B803" s="16"/>
      <c r="C803" s="198"/>
      <c r="D803" s="36"/>
      <c r="E803" s="16"/>
      <c r="F803" s="198"/>
      <c r="G803" s="16"/>
      <c r="H803" s="16"/>
      <c r="I803" s="16"/>
      <c r="J803" s="16"/>
      <c r="K803" s="16"/>
    </row>
    <row r="804" ht="14.25" customHeight="1">
      <c r="B804" s="16"/>
      <c r="C804" s="198"/>
      <c r="D804" s="36"/>
      <c r="E804" s="16"/>
      <c r="F804" s="198"/>
      <c r="G804" s="16"/>
      <c r="H804" s="16"/>
      <c r="I804" s="16"/>
      <c r="J804" s="16"/>
      <c r="K804" s="16"/>
    </row>
    <row r="805" ht="14.25" customHeight="1">
      <c r="B805" s="16"/>
      <c r="C805" s="198"/>
      <c r="D805" s="36"/>
      <c r="E805" s="16"/>
      <c r="F805" s="198"/>
      <c r="G805" s="16"/>
      <c r="H805" s="16"/>
      <c r="I805" s="16"/>
      <c r="J805" s="16"/>
      <c r="K805" s="16"/>
    </row>
    <row r="806" ht="14.25" customHeight="1">
      <c r="B806" s="16"/>
      <c r="C806" s="198"/>
      <c r="D806" s="36"/>
      <c r="E806" s="16"/>
      <c r="F806" s="198"/>
      <c r="G806" s="16"/>
      <c r="H806" s="16"/>
      <c r="I806" s="16"/>
      <c r="J806" s="16"/>
      <c r="K806" s="16"/>
    </row>
    <row r="807" ht="14.25" customHeight="1">
      <c r="B807" s="16"/>
      <c r="C807" s="198"/>
      <c r="D807" s="36"/>
      <c r="E807" s="16"/>
      <c r="F807" s="198"/>
      <c r="G807" s="16"/>
      <c r="H807" s="16"/>
      <c r="I807" s="16"/>
      <c r="J807" s="16"/>
      <c r="K807" s="16"/>
    </row>
    <row r="808" ht="14.25" customHeight="1">
      <c r="B808" s="16"/>
      <c r="C808" s="198"/>
      <c r="D808" s="36"/>
      <c r="E808" s="16"/>
      <c r="F808" s="198"/>
      <c r="G808" s="16"/>
      <c r="H808" s="16"/>
      <c r="I808" s="16"/>
      <c r="J808" s="16"/>
      <c r="K808" s="16"/>
    </row>
    <row r="809" ht="14.25" customHeight="1">
      <c r="B809" s="16"/>
      <c r="C809" s="198"/>
      <c r="D809" s="36"/>
      <c r="E809" s="16"/>
      <c r="F809" s="198"/>
      <c r="G809" s="16"/>
      <c r="H809" s="16"/>
      <c r="I809" s="16"/>
      <c r="J809" s="16"/>
      <c r="K809" s="16"/>
    </row>
    <row r="810" ht="14.25" customHeight="1">
      <c r="B810" s="16"/>
      <c r="C810" s="198"/>
      <c r="D810" s="36"/>
      <c r="E810" s="16"/>
      <c r="F810" s="198"/>
      <c r="G810" s="16"/>
      <c r="H810" s="16"/>
      <c r="I810" s="16"/>
      <c r="J810" s="16"/>
      <c r="K810" s="16"/>
    </row>
    <row r="811" ht="14.25" customHeight="1">
      <c r="B811" s="16"/>
      <c r="C811" s="198"/>
      <c r="D811" s="36"/>
      <c r="E811" s="16"/>
      <c r="F811" s="198"/>
      <c r="G811" s="16"/>
      <c r="H811" s="16"/>
      <c r="I811" s="16"/>
      <c r="J811" s="16"/>
      <c r="K811" s="16"/>
    </row>
    <row r="812" ht="14.25" customHeight="1">
      <c r="B812" s="16"/>
      <c r="C812" s="198"/>
      <c r="D812" s="36"/>
      <c r="E812" s="16"/>
      <c r="F812" s="198"/>
      <c r="G812" s="16"/>
      <c r="H812" s="16"/>
      <c r="I812" s="16"/>
      <c r="J812" s="16"/>
      <c r="K812" s="16"/>
    </row>
    <row r="813" ht="14.25" customHeight="1">
      <c r="B813" s="16"/>
      <c r="C813" s="198"/>
      <c r="D813" s="36"/>
      <c r="E813" s="16"/>
      <c r="F813" s="198"/>
      <c r="G813" s="16"/>
      <c r="H813" s="16"/>
      <c r="I813" s="16"/>
      <c r="J813" s="16"/>
      <c r="K813" s="16"/>
    </row>
    <row r="814" ht="14.25" customHeight="1">
      <c r="B814" s="16"/>
      <c r="C814" s="198"/>
      <c r="D814" s="36"/>
      <c r="E814" s="16"/>
      <c r="F814" s="198"/>
      <c r="G814" s="16"/>
      <c r="H814" s="16"/>
      <c r="I814" s="16"/>
      <c r="J814" s="16"/>
      <c r="K814" s="16"/>
    </row>
    <row r="815" ht="14.25" customHeight="1">
      <c r="B815" s="16"/>
      <c r="C815" s="198"/>
      <c r="D815" s="36"/>
      <c r="E815" s="16"/>
      <c r="F815" s="198"/>
      <c r="G815" s="16"/>
      <c r="H815" s="16"/>
      <c r="I815" s="16"/>
      <c r="J815" s="16"/>
      <c r="K815" s="16"/>
    </row>
    <row r="816" ht="14.25" customHeight="1">
      <c r="B816" s="16"/>
      <c r="C816" s="198"/>
      <c r="D816" s="36"/>
      <c r="E816" s="16"/>
      <c r="F816" s="198"/>
      <c r="G816" s="16"/>
      <c r="H816" s="16"/>
      <c r="I816" s="16"/>
      <c r="J816" s="16"/>
      <c r="K816" s="16"/>
    </row>
    <row r="817" ht="14.25" customHeight="1">
      <c r="B817" s="16"/>
      <c r="C817" s="198"/>
      <c r="D817" s="36"/>
      <c r="E817" s="16"/>
      <c r="F817" s="198"/>
      <c r="G817" s="16"/>
      <c r="H817" s="16"/>
      <c r="I817" s="16"/>
      <c r="J817" s="16"/>
      <c r="K817" s="16"/>
    </row>
    <row r="818" ht="14.25" customHeight="1">
      <c r="B818" s="16"/>
      <c r="C818" s="198"/>
      <c r="D818" s="36"/>
      <c r="E818" s="16"/>
      <c r="F818" s="198"/>
      <c r="G818" s="16"/>
      <c r="H818" s="16"/>
      <c r="I818" s="16"/>
      <c r="J818" s="16"/>
      <c r="K818" s="16"/>
    </row>
    <row r="819" ht="14.25" customHeight="1">
      <c r="B819" s="16"/>
      <c r="C819" s="198"/>
      <c r="D819" s="36"/>
      <c r="E819" s="16"/>
      <c r="F819" s="198"/>
      <c r="G819" s="16"/>
      <c r="H819" s="16"/>
      <c r="I819" s="16"/>
      <c r="J819" s="16"/>
      <c r="K819" s="16"/>
    </row>
    <row r="820" ht="14.25" customHeight="1">
      <c r="B820" s="16"/>
      <c r="C820" s="198"/>
      <c r="D820" s="36"/>
      <c r="E820" s="16"/>
      <c r="F820" s="198"/>
      <c r="G820" s="16"/>
      <c r="H820" s="16"/>
      <c r="I820" s="16"/>
      <c r="J820" s="16"/>
      <c r="K820" s="16"/>
    </row>
    <row r="821" ht="14.25" customHeight="1">
      <c r="B821" s="16"/>
      <c r="C821" s="198"/>
      <c r="D821" s="36"/>
      <c r="E821" s="16"/>
      <c r="F821" s="198"/>
      <c r="G821" s="16"/>
      <c r="H821" s="16"/>
      <c r="I821" s="16"/>
      <c r="J821" s="16"/>
      <c r="K821" s="16"/>
    </row>
    <row r="822" ht="14.25" customHeight="1">
      <c r="B822" s="16"/>
      <c r="C822" s="198"/>
      <c r="D822" s="36"/>
      <c r="E822" s="16"/>
      <c r="F822" s="198"/>
      <c r="G822" s="16"/>
      <c r="H822" s="16"/>
      <c r="I822" s="16"/>
      <c r="J822" s="16"/>
      <c r="K822" s="16"/>
    </row>
    <row r="823" ht="14.25" customHeight="1">
      <c r="B823" s="16"/>
      <c r="C823" s="198"/>
      <c r="D823" s="36"/>
      <c r="E823" s="16"/>
      <c r="F823" s="198"/>
      <c r="G823" s="16"/>
      <c r="H823" s="16"/>
      <c r="I823" s="16"/>
      <c r="J823" s="16"/>
      <c r="K823" s="16"/>
    </row>
    <row r="824" ht="14.25" customHeight="1">
      <c r="B824" s="16"/>
      <c r="C824" s="198"/>
      <c r="D824" s="36"/>
      <c r="E824" s="16"/>
      <c r="F824" s="198"/>
      <c r="G824" s="16"/>
      <c r="H824" s="16"/>
      <c r="I824" s="16"/>
      <c r="J824" s="16"/>
      <c r="K824" s="16"/>
    </row>
    <row r="825" ht="14.25" customHeight="1">
      <c r="B825" s="16"/>
      <c r="C825" s="198"/>
      <c r="D825" s="36"/>
      <c r="E825" s="16"/>
      <c r="F825" s="198"/>
      <c r="G825" s="16"/>
      <c r="H825" s="16"/>
      <c r="I825" s="16"/>
      <c r="J825" s="16"/>
      <c r="K825" s="16"/>
    </row>
    <row r="826" ht="14.25" customHeight="1">
      <c r="B826" s="16"/>
      <c r="C826" s="198"/>
      <c r="D826" s="36"/>
      <c r="E826" s="16"/>
      <c r="F826" s="198"/>
      <c r="G826" s="16"/>
      <c r="H826" s="16"/>
      <c r="I826" s="16"/>
      <c r="J826" s="16"/>
      <c r="K826" s="16"/>
    </row>
    <row r="827" ht="14.25" customHeight="1">
      <c r="B827" s="16"/>
      <c r="C827" s="198"/>
      <c r="D827" s="36"/>
      <c r="E827" s="16"/>
      <c r="F827" s="198"/>
      <c r="G827" s="16"/>
      <c r="H827" s="16"/>
      <c r="I827" s="16"/>
      <c r="J827" s="16"/>
      <c r="K827" s="16"/>
    </row>
    <row r="828" ht="14.25" customHeight="1">
      <c r="B828" s="16"/>
      <c r="C828" s="198"/>
      <c r="D828" s="36"/>
      <c r="E828" s="16"/>
      <c r="F828" s="198"/>
      <c r="G828" s="16"/>
      <c r="H828" s="16"/>
      <c r="I828" s="16"/>
      <c r="J828" s="16"/>
      <c r="K828" s="16"/>
    </row>
    <row r="829" ht="14.25" customHeight="1">
      <c r="B829" s="16"/>
      <c r="C829" s="198"/>
      <c r="D829" s="36"/>
      <c r="E829" s="16"/>
      <c r="F829" s="198"/>
      <c r="G829" s="16"/>
      <c r="H829" s="16"/>
      <c r="I829" s="16"/>
      <c r="J829" s="16"/>
      <c r="K829" s="16"/>
    </row>
    <row r="830" ht="14.25" customHeight="1">
      <c r="B830" s="16"/>
      <c r="C830" s="198"/>
      <c r="D830" s="36"/>
      <c r="E830" s="16"/>
      <c r="F830" s="198"/>
      <c r="G830" s="16"/>
      <c r="H830" s="16"/>
      <c r="I830" s="16"/>
      <c r="J830" s="16"/>
      <c r="K830" s="16"/>
    </row>
    <row r="831" ht="14.25" customHeight="1">
      <c r="B831" s="16"/>
      <c r="C831" s="198"/>
      <c r="D831" s="36"/>
      <c r="E831" s="16"/>
      <c r="F831" s="198"/>
      <c r="G831" s="16"/>
      <c r="H831" s="16"/>
      <c r="I831" s="16"/>
      <c r="J831" s="16"/>
      <c r="K831" s="16"/>
    </row>
    <row r="832" ht="14.25" customHeight="1">
      <c r="B832" s="16"/>
      <c r="C832" s="198"/>
      <c r="D832" s="36"/>
      <c r="E832" s="16"/>
      <c r="F832" s="198"/>
      <c r="G832" s="16"/>
      <c r="H832" s="16"/>
      <c r="I832" s="16"/>
      <c r="J832" s="16"/>
      <c r="K832" s="16"/>
    </row>
    <row r="833" ht="14.25" customHeight="1">
      <c r="B833" s="16"/>
      <c r="C833" s="198"/>
      <c r="D833" s="36"/>
      <c r="E833" s="16"/>
      <c r="F833" s="198"/>
      <c r="G833" s="16"/>
      <c r="H833" s="16"/>
      <c r="I833" s="16"/>
      <c r="J833" s="16"/>
      <c r="K833" s="16"/>
    </row>
    <row r="834" ht="14.25" customHeight="1">
      <c r="B834" s="16"/>
      <c r="C834" s="198"/>
      <c r="D834" s="36"/>
      <c r="E834" s="16"/>
      <c r="F834" s="198"/>
      <c r="G834" s="16"/>
      <c r="H834" s="16"/>
      <c r="I834" s="16"/>
      <c r="J834" s="16"/>
      <c r="K834" s="16"/>
    </row>
    <row r="835" ht="14.25" customHeight="1">
      <c r="B835" s="16"/>
      <c r="C835" s="198"/>
      <c r="D835" s="36"/>
      <c r="E835" s="16"/>
      <c r="F835" s="198"/>
      <c r="G835" s="16"/>
      <c r="H835" s="16"/>
      <c r="I835" s="16"/>
      <c r="J835" s="16"/>
      <c r="K835" s="16"/>
    </row>
    <row r="836" ht="14.25" customHeight="1">
      <c r="B836" s="16"/>
      <c r="C836" s="198"/>
      <c r="D836" s="36"/>
      <c r="E836" s="16"/>
      <c r="F836" s="198"/>
      <c r="G836" s="16"/>
      <c r="H836" s="16"/>
      <c r="I836" s="16"/>
      <c r="J836" s="16"/>
      <c r="K836" s="16"/>
    </row>
    <row r="837" ht="14.25" customHeight="1">
      <c r="B837" s="16"/>
      <c r="C837" s="198"/>
      <c r="D837" s="36"/>
      <c r="E837" s="16"/>
      <c r="F837" s="198"/>
      <c r="G837" s="16"/>
      <c r="H837" s="16"/>
      <c r="I837" s="16"/>
      <c r="J837" s="16"/>
      <c r="K837" s="16"/>
    </row>
    <row r="838" ht="14.25" customHeight="1">
      <c r="B838" s="16"/>
      <c r="C838" s="198"/>
      <c r="D838" s="36"/>
      <c r="E838" s="16"/>
      <c r="F838" s="198"/>
      <c r="G838" s="16"/>
      <c r="H838" s="16"/>
      <c r="I838" s="16"/>
      <c r="J838" s="16"/>
      <c r="K838" s="16"/>
    </row>
    <row r="839" ht="14.25" customHeight="1">
      <c r="B839" s="16"/>
      <c r="C839" s="198"/>
      <c r="D839" s="36"/>
      <c r="E839" s="16"/>
      <c r="F839" s="198"/>
      <c r="G839" s="16"/>
      <c r="H839" s="16"/>
      <c r="I839" s="16"/>
      <c r="J839" s="16"/>
      <c r="K839" s="16"/>
    </row>
    <row r="840" ht="14.25" customHeight="1">
      <c r="B840" s="16"/>
      <c r="C840" s="198"/>
      <c r="D840" s="36"/>
      <c r="E840" s="16"/>
      <c r="F840" s="198"/>
      <c r="G840" s="16"/>
      <c r="H840" s="16"/>
      <c r="I840" s="16"/>
      <c r="J840" s="16"/>
      <c r="K840" s="16"/>
    </row>
    <row r="841" ht="14.25" customHeight="1">
      <c r="B841" s="16"/>
      <c r="C841" s="198"/>
      <c r="D841" s="36"/>
      <c r="E841" s="16"/>
      <c r="F841" s="198"/>
      <c r="G841" s="16"/>
      <c r="H841" s="16"/>
      <c r="I841" s="16"/>
      <c r="J841" s="16"/>
      <c r="K841" s="16"/>
    </row>
    <row r="842" ht="14.25" customHeight="1">
      <c r="B842" s="16"/>
      <c r="C842" s="198"/>
      <c r="D842" s="36"/>
      <c r="E842" s="16"/>
      <c r="F842" s="198"/>
      <c r="G842" s="16"/>
      <c r="H842" s="16"/>
      <c r="I842" s="16"/>
      <c r="J842" s="16"/>
      <c r="K842" s="16"/>
    </row>
    <row r="843" ht="14.25" customHeight="1">
      <c r="B843" s="16"/>
      <c r="C843" s="198"/>
      <c r="D843" s="36"/>
      <c r="E843" s="16"/>
      <c r="F843" s="198"/>
      <c r="G843" s="16"/>
      <c r="H843" s="16"/>
      <c r="I843" s="16"/>
      <c r="J843" s="16"/>
      <c r="K843" s="16"/>
    </row>
    <row r="844" ht="14.25" customHeight="1">
      <c r="B844" s="16"/>
      <c r="C844" s="198"/>
      <c r="D844" s="36"/>
      <c r="E844" s="16"/>
      <c r="F844" s="198"/>
      <c r="G844" s="16"/>
      <c r="H844" s="16"/>
      <c r="I844" s="16"/>
      <c r="J844" s="16"/>
      <c r="K844" s="16"/>
    </row>
    <row r="845" ht="14.25" customHeight="1">
      <c r="B845" s="16"/>
      <c r="C845" s="198"/>
      <c r="D845" s="36"/>
      <c r="E845" s="16"/>
      <c r="F845" s="198"/>
      <c r="G845" s="16"/>
      <c r="H845" s="16"/>
      <c r="I845" s="16"/>
      <c r="J845" s="16"/>
      <c r="K845" s="16"/>
    </row>
    <row r="846" ht="14.25" customHeight="1">
      <c r="B846" s="16"/>
      <c r="C846" s="198"/>
      <c r="D846" s="36"/>
      <c r="E846" s="16"/>
      <c r="F846" s="198"/>
      <c r="G846" s="16"/>
      <c r="H846" s="16"/>
      <c r="I846" s="16"/>
      <c r="J846" s="16"/>
      <c r="K846" s="16"/>
    </row>
    <row r="847" ht="14.25" customHeight="1">
      <c r="B847" s="16"/>
      <c r="C847" s="198"/>
      <c r="D847" s="36"/>
      <c r="E847" s="16"/>
      <c r="F847" s="198"/>
      <c r="G847" s="16"/>
      <c r="H847" s="16"/>
      <c r="I847" s="16"/>
      <c r="J847" s="16"/>
      <c r="K847" s="16"/>
    </row>
    <row r="848" ht="14.25" customHeight="1">
      <c r="B848" s="16"/>
      <c r="C848" s="198"/>
      <c r="D848" s="36"/>
      <c r="E848" s="16"/>
      <c r="F848" s="198"/>
      <c r="G848" s="16"/>
      <c r="H848" s="16"/>
      <c r="I848" s="16"/>
      <c r="J848" s="16"/>
      <c r="K848" s="16"/>
    </row>
    <row r="849" ht="14.25" customHeight="1">
      <c r="B849" s="16"/>
      <c r="C849" s="198"/>
      <c r="D849" s="36"/>
      <c r="E849" s="16"/>
      <c r="F849" s="198"/>
      <c r="G849" s="16"/>
      <c r="H849" s="16"/>
      <c r="I849" s="16"/>
      <c r="J849" s="16"/>
      <c r="K849" s="16"/>
    </row>
    <row r="850" ht="14.25" customHeight="1">
      <c r="B850" s="16"/>
      <c r="C850" s="198"/>
      <c r="D850" s="36"/>
      <c r="E850" s="16"/>
      <c r="F850" s="198"/>
      <c r="G850" s="16"/>
      <c r="H850" s="16"/>
      <c r="I850" s="16"/>
      <c r="J850" s="16"/>
      <c r="K850" s="16"/>
    </row>
    <row r="851" ht="14.25" customHeight="1">
      <c r="B851" s="16"/>
      <c r="C851" s="198"/>
      <c r="D851" s="36"/>
      <c r="E851" s="16"/>
      <c r="F851" s="198"/>
      <c r="G851" s="16"/>
      <c r="H851" s="16"/>
      <c r="I851" s="16"/>
      <c r="J851" s="16"/>
      <c r="K851" s="16"/>
    </row>
    <row r="852" ht="14.25" customHeight="1">
      <c r="B852" s="16"/>
      <c r="C852" s="198"/>
      <c r="D852" s="36"/>
      <c r="E852" s="16"/>
      <c r="F852" s="198"/>
      <c r="G852" s="16"/>
      <c r="H852" s="16"/>
      <c r="I852" s="16"/>
      <c r="J852" s="16"/>
      <c r="K852" s="16"/>
    </row>
    <row r="853" ht="14.25" customHeight="1">
      <c r="B853" s="16"/>
      <c r="C853" s="198"/>
      <c r="D853" s="36"/>
      <c r="E853" s="16"/>
      <c r="F853" s="198"/>
      <c r="G853" s="16"/>
      <c r="H853" s="16"/>
      <c r="I853" s="16"/>
      <c r="J853" s="16"/>
      <c r="K853" s="16"/>
    </row>
    <row r="854" ht="14.25" customHeight="1">
      <c r="B854" s="16"/>
      <c r="C854" s="198"/>
      <c r="D854" s="36"/>
      <c r="E854" s="16"/>
      <c r="F854" s="198"/>
      <c r="G854" s="16"/>
      <c r="H854" s="16"/>
      <c r="I854" s="16"/>
      <c r="J854" s="16"/>
      <c r="K854" s="16"/>
    </row>
    <row r="855" ht="14.25" customHeight="1">
      <c r="B855" s="16"/>
      <c r="C855" s="198"/>
      <c r="D855" s="36"/>
      <c r="E855" s="16"/>
      <c r="F855" s="198"/>
      <c r="G855" s="16"/>
      <c r="H855" s="16"/>
      <c r="I855" s="16"/>
      <c r="J855" s="16"/>
      <c r="K855" s="16"/>
    </row>
    <row r="856" ht="14.25" customHeight="1">
      <c r="B856" s="16"/>
      <c r="C856" s="198"/>
      <c r="D856" s="36"/>
      <c r="E856" s="16"/>
      <c r="F856" s="198"/>
      <c r="G856" s="16"/>
      <c r="H856" s="16"/>
      <c r="I856" s="16"/>
      <c r="J856" s="16"/>
      <c r="K856" s="16"/>
    </row>
    <row r="857" ht="14.25" customHeight="1">
      <c r="B857" s="16"/>
      <c r="C857" s="198"/>
      <c r="D857" s="36"/>
      <c r="E857" s="16"/>
      <c r="F857" s="198"/>
      <c r="G857" s="16"/>
      <c r="H857" s="16"/>
      <c r="I857" s="16"/>
      <c r="J857" s="16"/>
      <c r="K857" s="16"/>
    </row>
    <row r="858" ht="14.25" customHeight="1">
      <c r="B858" s="16"/>
      <c r="C858" s="198"/>
      <c r="D858" s="36"/>
      <c r="E858" s="16"/>
      <c r="F858" s="198"/>
      <c r="G858" s="16"/>
      <c r="H858" s="16"/>
      <c r="I858" s="16"/>
      <c r="J858" s="16"/>
      <c r="K858" s="16"/>
    </row>
    <row r="859" ht="14.25" customHeight="1">
      <c r="B859" s="16"/>
      <c r="C859" s="198"/>
      <c r="D859" s="36"/>
      <c r="E859" s="16"/>
      <c r="F859" s="198"/>
      <c r="G859" s="16"/>
      <c r="H859" s="16"/>
      <c r="I859" s="16"/>
      <c r="J859" s="16"/>
      <c r="K859" s="16"/>
    </row>
    <row r="860" ht="14.25" customHeight="1">
      <c r="B860" s="16"/>
      <c r="C860" s="198"/>
      <c r="D860" s="36"/>
      <c r="E860" s="16"/>
      <c r="F860" s="198"/>
      <c r="G860" s="16"/>
      <c r="H860" s="16"/>
      <c r="I860" s="16"/>
      <c r="J860" s="16"/>
      <c r="K860" s="16"/>
    </row>
    <row r="861" ht="14.25" customHeight="1">
      <c r="B861" s="16"/>
      <c r="C861" s="198"/>
      <c r="D861" s="36"/>
      <c r="E861" s="16"/>
      <c r="F861" s="198"/>
      <c r="G861" s="16"/>
      <c r="H861" s="16"/>
      <c r="I861" s="16"/>
      <c r="J861" s="16"/>
      <c r="K861" s="16"/>
    </row>
    <row r="862" ht="14.25" customHeight="1">
      <c r="B862" s="16"/>
      <c r="C862" s="198"/>
      <c r="D862" s="36"/>
      <c r="E862" s="16"/>
      <c r="F862" s="198"/>
      <c r="G862" s="16"/>
      <c r="H862" s="16"/>
      <c r="I862" s="16"/>
      <c r="J862" s="16"/>
      <c r="K862" s="16"/>
    </row>
    <row r="863" ht="14.25" customHeight="1">
      <c r="B863" s="16"/>
      <c r="C863" s="198"/>
      <c r="D863" s="36"/>
      <c r="E863" s="16"/>
      <c r="F863" s="198"/>
      <c r="G863" s="16"/>
      <c r="H863" s="16"/>
      <c r="I863" s="16"/>
      <c r="J863" s="16"/>
      <c r="K863" s="16"/>
    </row>
    <row r="864" ht="14.25" customHeight="1">
      <c r="B864" s="16"/>
      <c r="C864" s="198"/>
      <c r="D864" s="36"/>
      <c r="E864" s="16"/>
      <c r="F864" s="198"/>
      <c r="G864" s="16"/>
      <c r="H864" s="16"/>
      <c r="I864" s="16"/>
      <c r="J864" s="16"/>
      <c r="K864" s="16"/>
    </row>
    <row r="865" ht="14.25" customHeight="1">
      <c r="B865" s="16"/>
      <c r="C865" s="198"/>
      <c r="D865" s="36"/>
      <c r="E865" s="16"/>
      <c r="F865" s="198"/>
      <c r="G865" s="16"/>
      <c r="H865" s="16"/>
      <c r="I865" s="16"/>
      <c r="J865" s="16"/>
      <c r="K865" s="16"/>
    </row>
    <row r="866" ht="14.25" customHeight="1">
      <c r="B866" s="16"/>
      <c r="C866" s="198"/>
      <c r="D866" s="36"/>
      <c r="E866" s="16"/>
      <c r="F866" s="198"/>
      <c r="G866" s="16"/>
      <c r="H866" s="16"/>
      <c r="I866" s="16"/>
      <c r="J866" s="16"/>
      <c r="K866" s="16"/>
    </row>
    <row r="867" ht="14.25" customHeight="1">
      <c r="B867" s="16"/>
      <c r="C867" s="198"/>
      <c r="D867" s="36"/>
      <c r="E867" s="16"/>
      <c r="F867" s="198"/>
      <c r="G867" s="16"/>
      <c r="H867" s="16"/>
      <c r="I867" s="16"/>
      <c r="J867" s="16"/>
      <c r="K867" s="16"/>
    </row>
    <row r="868" ht="14.25" customHeight="1">
      <c r="B868" s="16"/>
      <c r="C868" s="198"/>
      <c r="D868" s="36"/>
      <c r="E868" s="16"/>
      <c r="F868" s="198"/>
      <c r="G868" s="16"/>
      <c r="H868" s="16"/>
      <c r="I868" s="16"/>
      <c r="J868" s="16"/>
      <c r="K868" s="16"/>
    </row>
    <row r="869" ht="14.25" customHeight="1">
      <c r="B869" s="16"/>
      <c r="C869" s="198"/>
      <c r="D869" s="36"/>
      <c r="E869" s="16"/>
      <c r="F869" s="198"/>
      <c r="G869" s="16"/>
      <c r="H869" s="16"/>
      <c r="I869" s="16"/>
      <c r="J869" s="16"/>
      <c r="K869" s="16"/>
    </row>
    <row r="870" ht="14.25" customHeight="1">
      <c r="B870" s="16"/>
      <c r="C870" s="198"/>
      <c r="D870" s="36"/>
      <c r="E870" s="16"/>
      <c r="F870" s="198"/>
      <c r="G870" s="16"/>
      <c r="H870" s="16"/>
      <c r="I870" s="16"/>
      <c r="J870" s="16"/>
      <c r="K870" s="16"/>
    </row>
    <row r="871" ht="14.25" customHeight="1">
      <c r="B871" s="16"/>
      <c r="C871" s="198"/>
      <c r="D871" s="36"/>
      <c r="E871" s="16"/>
      <c r="F871" s="198"/>
      <c r="G871" s="16"/>
      <c r="H871" s="16"/>
      <c r="I871" s="16"/>
      <c r="J871" s="16"/>
      <c r="K871" s="16"/>
    </row>
    <row r="872" ht="14.25" customHeight="1">
      <c r="B872" s="16"/>
      <c r="C872" s="198"/>
      <c r="D872" s="36"/>
      <c r="E872" s="16"/>
      <c r="F872" s="198"/>
      <c r="G872" s="16"/>
      <c r="H872" s="16"/>
      <c r="I872" s="16"/>
      <c r="J872" s="16"/>
      <c r="K872" s="16"/>
    </row>
    <row r="873" ht="14.25" customHeight="1">
      <c r="B873" s="16"/>
      <c r="C873" s="198"/>
      <c r="D873" s="36"/>
      <c r="E873" s="16"/>
      <c r="F873" s="198"/>
      <c r="G873" s="16"/>
      <c r="H873" s="16"/>
      <c r="I873" s="16"/>
      <c r="J873" s="16"/>
      <c r="K873" s="16"/>
    </row>
    <row r="874" ht="14.25" customHeight="1">
      <c r="B874" s="16"/>
      <c r="C874" s="198"/>
      <c r="D874" s="36"/>
      <c r="E874" s="16"/>
      <c r="F874" s="198"/>
      <c r="G874" s="16"/>
      <c r="H874" s="16"/>
      <c r="I874" s="16"/>
      <c r="J874" s="16"/>
      <c r="K874" s="16"/>
    </row>
    <row r="875" ht="14.25" customHeight="1">
      <c r="B875" s="16"/>
      <c r="C875" s="198"/>
      <c r="D875" s="36"/>
      <c r="E875" s="16"/>
      <c r="F875" s="198"/>
      <c r="G875" s="16"/>
      <c r="H875" s="16"/>
      <c r="I875" s="16"/>
      <c r="J875" s="16"/>
      <c r="K875" s="16"/>
    </row>
    <row r="876" ht="14.25" customHeight="1">
      <c r="B876" s="16"/>
      <c r="C876" s="198"/>
      <c r="D876" s="36"/>
      <c r="E876" s="16"/>
      <c r="F876" s="198"/>
      <c r="G876" s="16"/>
      <c r="H876" s="16"/>
      <c r="I876" s="16"/>
      <c r="J876" s="16"/>
      <c r="K876" s="16"/>
    </row>
    <row r="877" ht="14.25" customHeight="1">
      <c r="B877" s="16"/>
      <c r="C877" s="198"/>
      <c r="D877" s="36"/>
      <c r="E877" s="16"/>
      <c r="F877" s="198"/>
      <c r="G877" s="16"/>
      <c r="H877" s="16"/>
      <c r="I877" s="16"/>
      <c r="J877" s="16"/>
      <c r="K877" s="16"/>
    </row>
    <row r="878" ht="14.25" customHeight="1">
      <c r="B878" s="16"/>
      <c r="C878" s="198"/>
      <c r="D878" s="36"/>
      <c r="E878" s="16"/>
      <c r="F878" s="198"/>
      <c r="G878" s="16"/>
      <c r="H878" s="16"/>
      <c r="I878" s="16"/>
      <c r="J878" s="16"/>
      <c r="K878" s="16"/>
    </row>
    <row r="879" ht="14.25" customHeight="1">
      <c r="B879" s="16"/>
      <c r="C879" s="198"/>
      <c r="D879" s="36"/>
      <c r="E879" s="16"/>
      <c r="F879" s="198"/>
      <c r="G879" s="16"/>
      <c r="H879" s="16"/>
      <c r="I879" s="16"/>
      <c r="J879" s="16"/>
      <c r="K879" s="16"/>
    </row>
    <row r="880" ht="14.25" customHeight="1">
      <c r="B880" s="16"/>
      <c r="C880" s="198"/>
      <c r="D880" s="36"/>
      <c r="E880" s="16"/>
      <c r="F880" s="198"/>
      <c r="G880" s="16"/>
      <c r="H880" s="16"/>
      <c r="I880" s="16"/>
      <c r="J880" s="16"/>
      <c r="K880" s="16"/>
    </row>
    <row r="881" ht="14.25" customHeight="1">
      <c r="B881" s="16"/>
      <c r="C881" s="198"/>
      <c r="D881" s="36"/>
      <c r="E881" s="16"/>
      <c r="F881" s="198"/>
      <c r="G881" s="16"/>
      <c r="H881" s="16"/>
      <c r="I881" s="16"/>
      <c r="J881" s="16"/>
      <c r="K881" s="16"/>
    </row>
    <row r="882" ht="14.25" customHeight="1">
      <c r="B882" s="16"/>
      <c r="C882" s="198"/>
      <c r="D882" s="36"/>
      <c r="E882" s="16"/>
      <c r="F882" s="198"/>
      <c r="G882" s="16"/>
      <c r="H882" s="16"/>
      <c r="I882" s="16"/>
      <c r="J882" s="16"/>
      <c r="K882" s="16"/>
    </row>
    <row r="883" ht="14.25" customHeight="1">
      <c r="B883" s="16"/>
      <c r="C883" s="198"/>
      <c r="D883" s="36"/>
      <c r="E883" s="16"/>
      <c r="F883" s="198"/>
      <c r="G883" s="16"/>
      <c r="H883" s="16"/>
      <c r="I883" s="16"/>
      <c r="J883" s="16"/>
      <c r="K883" s="16"/>
    </row>
    <row r="884" ht="14.25" customHeight="1">
      <c r="B884" s="16"/>
      <c r="C884" s="198"/>
      <c r="D884" s="36"/>
      <c r="E884" s="16"/>
      <c r="F884" s="198"/>
      <c r="G884" s="16"/>
      <c r="H884" s="16"/>
      <c r="I884" s="16"/>
      <c r="J884" s="16"/>
      <c r="K884" s="16"/>
    </row>
    <row r="885" ht="14.25" customHeight="1">
      <c r="B885" s="16"/>
      <c r="C885" s="198"/>
      <c r="D885" s="36"/>
      <c r="E885" s="16"/>
      <c r="F885" s="198"/>
      <c r="G885" s="16"/>
      <c r="H885" s="16"/>
      <c r="I885" s="16"/>
      <c r="J885" s="16"/>
      <c r="K885" s="16"/>
    </row>
    <row r="886" ht="14.25" customHeight="1">
      <c r="B886" s="16"/>
      <c r="C886" s="198"/>
      <c r="D886" s="36"/>
      <c r="E886" s="16"/>
      <c r="F886" s="198"/>
      <c r="G886" s="16"/>
      <c r="H886" s="16"/>
      <c r="I886" s="16"/>
      <c r="J886" s="16"/>
      <c r="K886" s="16"/>
    </row>
    <row r="887" ht="14.25" customHeight="1">
      <c r="B887" s="16"/>
      <c r="C887" s="198"/>
      <c r="D887" s="36"/>
      <c r="E887" s="16"/>
      <c r="F887" s="198"/>
      <c r="G887" s="16"/>
      <c r="H887" s="16"/>
      <c r="I887" s="16"/>
      <c r="J887" s="16"/>
      <c r="K887" s="16"/>
    </row>
    <row r="888" ht="14.25" customHeight="1">
      <c r="B888" s="16"/>
      <c r="C888" s="198"/>
      <c r="D888" s="36"/>
      <c r="E888" s="16"/>
      <c r="F888" s="198"/>
      <c r="G888" s="16"/>
      <c r="H888" s="16"/>
      <c r="I888" s="16"/>
      <c r="J888" s="16"/>
      <c r="K888" s="16"/>
    </row>
    <row r="889" ht="14.25" customHeight="1">
      <c r="B889" s="16"/>
      <c r="C889" s="198"/>
      <c r="D889" s="36"/>
      <c r="E889" s="16"/>
      <c r="F889" s="198"/>
      <c r="G889" s="16"/>
      <c r="H889" s="16"/>
      <c r="I889" s="16"/>
      <c r="J889" s="16"/>
      <c r="K889" s="16"/>
    </row>
    <row r="890" ht="14.25" customHeight="1">
      <c r="B890" s="16"/>
      <c r="C890" s="198"/>
      <c r="D890" s="36"/>
      <c r="E890" s="16"/>
      <c r="F890" s="198"/>
      <c r="G890" s="16"/>
      <c r="H890" s="16"/>
      <c r="I890" s="16"/>
      <c r="J890" s="16"/>
      <c r="K890" s="16"/>
    </row>
    <row r="891" ht="14.25" customHeight="1">
      <c r="B891" s="16"/>
      <c r="C891" s="198"/>
      <c r="D891" s="36"/>
      <c r="E891" s="16"/>
      <c r="F891" s="198"/>
      <c r="G891" s="16"/>
      <c r="H891" s="16"/>
      <c r="I891" s="16"/>
      <c r="J891" s="16"/>
      <c r="K891" s="16"/>
    </row>
    <row r="892" ht="14.25" customHeight="1">
      <c r="B892" s="16"/>
      <c r="C892" s="198"/>
      <c r="D892" s="36"/>
      <c r="E892" s="16"/>
      <c r="F892" s="198"/>
      <c r="G892" s="16"/>
      <c r="H892" s="16"/>
      <c r="I892" s="16"/>
      <c r="J892" s="16"/>
      <c r="K892" s="16"/>
    </row>
    <row r="893" ht="14.25" customHeight="1">
      <c r="B893" s="16"/>
      <c r="C893" s="198"/>
      <c r="D893" s="36"/>
      <c r="E893" s="16"/>
      <c r="F893" s="198"/>
      <c r="G893" s="16"/>
      <c r="H893" s="16"/>
      <c r="I893" s="16"/>
      <c r="J893" s="16"/>
      <c r="K893" s="16"/>
    </row>
    <row r="894" ht="14.25" customHeight="1">
      <c r="B894" s="16"/>
      <c r="C894" s="198"/>
      <c r="D894" s="36"/>
      <c r="E894" s="16"/>
      <c r="F894" s="198"/>
      <c r="G894" s="16"/>
      <c r="H894" s="16"/>
      <c r="I894" s="16"/>
      <c r="J894" s="16"/>
      <c r="K894" s="16"/>
    </row>
    <row r="895" ht="14.25" customHeight="1">
      <c r="B895" s="16"/>
      <c r="C895" s="198"/>
      <c r="D895" s="36"/>
      <c r="E895" s="16"/>
      <c r="F895" s="198"/>
      <c r="G895" s="16"/>
      <c r="H895" s="16"/>
      <c r="I895" s="16"/>
      <c r="J895" s="16"/>
      <c r="K895" s="16"/>
    </row>
    <row r="896" ht="14.25" customHeight="1">
      <c r="B896" s="16"/>
      <c r="C896" s="198"/>
      <c r="D896" s="36"/>
      <c r="E896" s="16"/>
      <c r="F896" s="198"/>
      <c r="G896" s="16"/>
      <c r="H896" s="16"/>
      <c r="I896" s="16"/>
      <c r="J896" s="16"/>
      <c r="K896" s="16"/>
    </row>
    <row r="897" ht="14.25" customHeight="1">
      <c r="B897" s="16"/>
      <c r="C897" s="198"/>
      <c r="D897" s="36"/>
      <c r="E897" s="16"/>
      <c r="F897" s="198"/>
      <c r="G897" s="16"/>
      <c r="H897" s="16"/>
      <c r="I897" s="16"/>
      <c r="J897" s="16"/>
      <c r="K897" s="16"/>
    </row>
    <row r="898" ht="14.25" customHeight="1">
      <c r="B898" s="16"/>
      <c r="C898" s="198"/>
      <c r="D898" s="36"/>
      <c r="E898" s="16"/>
      <c r="F898" s="198"/>
      <c r="G898" s="16"/>
      <c r="H898" s="16"/>
      <c r="I898" s="16"/>
      <c r="J898" s="16"/>
      <c r="K898" s="16"/>
    </row>
    <row r="899" ht="14.25" customHeight="1">
      <c r="B899" s="16"/>
      <c r="C899" s="198"/>
      <c r="D899" s="36"/>
      <c r="E899" s="16"/>
      <c r="F899" s="198"/>
      <c r="G899" s="16"/>
      <c r="H899" s="16"/>
      <c r="I899" s="16"/>
      <c r="J899" s="16"/>
      <c r="K899" s="16"/>
    </row>
    <row r="900" ht="14.25" customHeight="1">
      <c r="B900" s="16"/>
      <c r="C900" s="198"/>
      <c r="D900" s="36"/>
      <c r="E900" s="16"/>
      <c r="F900" s="198"/>
      <c r="G900" s="16"/>
      <c r="H900" s="16"/>
      <c r="I900" s="16"/>
      <c r="J900" s="16"/>
      <c r="K900" s="16"/>
    </row>
    <row r="901" ht="14.25" customHeight="1">
      <c r="B901" s="16"/>
      <c r="C901" s="198"/>
      <c r="D901" s="36"/>
      <c r="E901" s="16"/>
      <c r="F901" s="198"/>
      <c r="G901" s="16"/>
      <c r="H901" s="16"/>
      <c r="I901" s="16"/>
      <c r="J901" s="16"/>
      <c r="K901" s="16"/>
    </row>
    <row r="902" ht="14.25" customHeight="1">
      <c r="B902" s="16"/>
      <c r="C902" s="198"/>
      <c r="D902" s="36"/>
      <c r="E902" s="16"/>
      <c r="F902" s="198"/>
      <c r="G902" s="16"/>
      <c r="H902" s="16"/>
      <c r="I902" s="16"/>
      <c r="J902" s="16"/>
      <c r="K902" s="16"/>
    </row>
    <row r="903" ht="14.25" customHeight="1">
      <c r="B903" s="16"/>
      <c r="C903" s="198"/>
      <c r="D903" s="36"/>
      <c r="E903" s="16"/>
      <c r="F903" s="198"/>
      <c r="G903" s="16"/>
      <c r="H903" s="16"/>
      <c r="I903" s="16"/>
      <c r="J903" s="16"/>
      <c r="K903" s="16"/>
    </row>
    <row r="904" ht="14.25" customHeight="1">
      <c r="B904" s="16"/>
      <c r="C904" s="198"/>
      <c r="D904" s="36"/>
      <c r="E904" s="16"/>
      <c r="F904" s="198"/>
      <c r="G904" s="16"/>
      <c r="H904" s="16"/>
      <c r="I904" s="16"/>
      <c r="J904" s="16"/>
      <c r="K904" s="16"/>
    </row>
    <row r="905" ht="14.25" customHeight="1">
      <c r="B905" s="16"/>
      <c r="C905" s="198"/>
      <c r="D905" s="36"/>
      <c r="E905" s="16"/>
      <c r="F905" s="198"/>
      <c r="G905" s="16"/>
      <c r="H905" s="16"/>
      <c r="I905" s="16"/>
      <c r="J905" s="16"/>
      <c r="K905" s="16"/>
    </row>
    <row r="906" ht="14.25" customHeight="1">
      <c r="B906" s="16"/>
      <c r="C906" s="198"/>
      <c r="D906" s="36"/>
      <c r="E906" s="16"/>
      <c r="F906" s="198"/>
      <c r="G906" s="16"/>
      <c r="H906" s="16"/>
      <c r="I906" s="16"/>
      <c r="J906" s="16"/>
      <c r="K906" s="16"/>
    </row>
    <row r="907" ht="14.25" customHeight="1">
      <c r="B907" s="16"/>
      <c r="C907" s="198"/>
      <c r="D907" s="36"/>
      <c r="E907" s="16"/>
      <c r="F907" s="198"/>
      <c r="G907" s="16"/>
      <c r="H907" s="16"/>
      <c r="I907" s="16"/>
      <c r="J907" s="16"/>
      <c r="K907" s="16"/>
    </row>
    <row r="908" ht="14.25" customHeight="1">
      <c r="B908" s="16"/>
      <c r="C908" s="198"/>
      <c r="D908" s="36"/>
      <c r="E908" s="16"/>
      <c r="F908" s="198"/>
      <c r="G908" s="16"/>
      <c r="H908" s="16"/>
      <c r="I908" s="16"/>
      <c r="J908" s="16"/>
      <c r="K908" s="16"/>
    </row>
    <row r="909" ht="14.25" customHeight="1">
      <c r="B909" s="16"/>
      <c r="C909" s="198"/>
      <c r="D909" s="36"/>
      <c r="E909" s="16"/>
      <c r="F909" s="198"/>
      <c r="G909" s="16"/>
      <c r="H909" s="16"/>
      <c r="I909" s="16"/>
      <c r="J909" s="16"/>
      <c r="K909" s="16"/>
    </row>
    <row r="910" ht="14.25" customHeight="1">
      <c r="B910" s="16"/>
      <c r="C910" s="198"/>
      <c r="D910" s="36"/>
      <c r="E910" s="16"/>
      <c r="F910" s="198"/>
      <c r="G910" s="16"/>
      <c r="H910" s="16"/>
      <c r="I910" s="16"/>
      <c r="J910" s="16"/>
      <c r="K910" s="16"/>
    </row>
    <row r="911" ht="14.25" customHeight="1">
      <c r="B911" s="16"/>
      <c r="C911" s="198"/>
      <c r="D911" s="36"/>
      <c r="E911" s="16"/>
      <c r="F911" s="198"/>
      <c r="G911" s="16"/>
      <c r="H911" s="16"/>
      <c r="I911" s="16"/>
      <c r="J911" s="16"/>
      <c r="K911" s="16"/>
    </row>
    <row r="912" ht="14.25" customHeight="1">
      <c r="B912" s="16"/>
      <c r="C912" s="198"/>
      <c r="D912" s="36"/>
      <c r="E912" s="16"/>
      <c r="F912" s="198"/>
      <c r="G912" s="16"/>
      <c r="H912" s="16"/>
      <c r="I912" s="16"/>
      <c r="J912" s="16"/>
      <c r="K912" s="16"/>
    </row>
    <row r="913" ht="14.25" customHeight="1">
      <c r="B913" s="16"/>
      <c r="C913" s="198"/>
      <c r="D913" s="36"/>
      <c r="E913" s="16"/>
      <c r="F913" s="198"/>
      <c r="G913" s="16"/>
      <c r="H913" s="16"/>
      <c r="I913" s="16"/>
      <c r="J913" s="16"/>
      <c r="K913" s="16"/>
    </row>
    <row r="914" ht="14.25" customHeight="1">
      <c r="B914" s="16"/>
      <c r="C914" s="198"/>
      <c r="D914" s="36"/>
      <c r="E914" s="16"/>
      <c r="F914" s="198"/>
      <c r="G914" s="16"/>
      <c r="H914" s="16"/>
      <c r="I914" s="16"/>
      <c r="J914" s="16"/>
      <c r="K914" s="16"/>
    </row>
    <row r="915" ht="14.25" customHeight="1">
      <c r="B915" s="16"/>
      <c r="C915" s="198"/>
      <c r="D915" s="36"/>
      <c r="E915" s="16"/>
      <c r="F915" s="198"/>
      <c r="G915" s="16"/>
      <c r="H915" s="16"/>
      <c r="I915" s="16"/>
      <c r="J915" s="16"/>
      <c r="K915" s="16"/>
    </row>
    <row r="916" ht="14.25" customHeight="1">
      <c r="B916" s="16"/>
      <c r="C916" s="198"/>
      <c r="D916" s="36"/>
      <c r="E916" s="16"/>
      <c r="F916" s="198"/>
      <c r="G916" s="16"/>
      <c r="H916" s="16"/>
      <c r="I916" s="16"/>
      <c r="J916" s="16"/>
      <c r="K916" s="16"/>
    </row>
    <row r="917" ht="14.25" customHeight="1">
      <c r="B917" s="16"/>
      <c r="C917" s="198"/>
      <c r="D917" s="36"/>
      <c r="E917" s="16"/>
      <c r="F917" s="198"/>
      <c r="G917" s="16"/>
      <c r="H917" s="16"/>
      <c r="I917" s="16"/>
      <c r="J917" s="16"/>
      <c r="K917" s="16"/>
    </row>
    <row r="918" ht="14.25" customHeight="1">
      <c r="B918" s="16"/>
      <c r="C918" s="198"/>
      <c r="D918" s="36"/>
      <c r="E918" s="16"/>
      <c r="F918" s="198"/>
      <c r="G918" s="16"/>
      <c r="H918" s="16"/>
      <c r="I918" s="16"/>
      <c r="J918" s="16"/>
      <c r="K918" s="16"/>
    </row>
    <row r="919" ht="14.25" customHeight="1">
      <c r="B919" s="16"/>
      <c r="C919" s="198"/>
      <c r="D919" s="36"/>
      <c r="E919" s="16"/>
      <c r="F919" s="198"/>
      <c r="G919" s="16"/>
      <c r="H919" s="16"/>
      <c r="I919" s="16"/>
      <c r="J919" s="16"/>
      <c r="K919" s="16"/>
    </row>
    <row r="920" ht="14.25" customHeight="1">
      <c r="B920" s="16"/>
      <c r="C920" s="198"/>
      <c r="D920" s="36"/>
      <c r="E920" s="16"/>
      <c r="F920" s="198"/>
      <c r="G920" s="16"/>
      <c r="H920" s="16"/>
      <c r="I920" s="16"/>
      <c r="J920" s="16"/>
      <c r="K920" s="16"/>
    </row>
    <row r="921" ht="14.25" customHeight="1">
      <c r="B921" s="16"/>
      <c r="C921" s="198"/>
      <c r="D921" s="36"/>
      <c r="E921" s="16"/>
      <c r="F921" s="198"/>
      <c r="G921" s="16"/>
      <c r="H921" s="16"/>
      <c r="I921" s="16"/>
      <c r="J921" s="16"/>
      <c r="K921" s="16"/>
    </row>
    <row r="922" ht="14.25" customHeight="1">
      <c r="B922" s="16"/>
      <c r="C922" s="198"/>
      <c r="D922" s="36"/>
      <c r="E922" s="16"/>
      <c r="F922" s="198"/>
      <c r="G922" s="16"/>
      <c r="H922" s="16"/>
      <c r="I922" s="16"/>
      <c r="J922" s="16"/>
      <c r="K922" s="16"/>
    </row>
    <row r="923" ht="14.25" customHeight="1">
      <c r="B923" s="16"/>
      <c r="C923" s="198"/>
      <c r="D923" s="36"/>
      <c r="E923" s="16"/>
      <c r="F923" s="198"/>
      <c r="G923" s="16"/>
      <c r="H923" s="16"/>
      <c r="I923" s="16"/>
      <c r="J923" s="16"/>
      <c r="K923" s="16"/>
    </row>
    <row r="924" ht="14.25" customHeight="1">
      <c r="B924" s="16"/>
      <c r="C924" s="198"/>
      <c r="D924" s="36"/>
      <c r="E924" s="16"/>
      <c r="F924" s="198"/>
      <c r="G924" s="16"/>
      <c r="H924" s="16"/>
      <c r="I924" s="16"/>
      <c r="J924" s="16"/>
      <c r="K924" s="16"/>
    </row>
    <row r="925" ht="14.25" customHeight="1">
      <c r="B925" s="16"/>
      <c r="C925" s="198"/>
      <c r="D925" s="36"/>
      <c r="E925" s="16"/>
      <c r="F925" s="198"/>
      <c r="G925" s="16"/>
      <c r="H925" s="16"/>
      <c r="I925" s="16"/>
      <c r="J925" s="16"/>
      <c r="K925" s="16"/>
    </row>
    <row r="926" ht="14.25" customHeight="1">
      <c r="B926" s="16"/>
      <c r="C926" s="198"/>
      <c r="D926" s="36"/>
      <c r="E926" s="16"/>
      <c r="F926" s="198"/>
      <c r="G926" s="16"/>
      <c r="H926" s="16"/>
      <c r="I926" s="16"/>
      <c r="J926" s="16"/>
      <c r="K926" s="16"/>
    </row>
    <row r="927" ht="14.25" customHeight="1">
      <c r="B927" s="16"/>
      <c r="C927" s="198"/>
      <c r="D927" s="36"/>
      <c r="E927" s="16"/>
      <c r="F927" s="198"/>
      <c r="G927" s="16"/>
      <c r="H927" s="16"/>
      <c r="I927" s="16"/>
      <c r="J927" s="16"/>
      <c r="K927" s="16"/>
    </row>
    <row r="928" ht="14.25" customHeight="1">
      <c r="B928" s="16"/>
      <c r="C928" s="198"/>
      <c r="D928" s="36"/>
      <c r="E928" s="16"/>
      <c r="F928" s="198"/>
      <c r="G928" s="16"/>
      <c r="H928" s="16"/>
      <c r="I928" s="16"/>
      <c r="J928" s="16"/>
      <c r="K928" s="16"/>
    </row>
    <row r="929" ht="14.25" customHeight="1">
      <c r="B929" s="16"/>
      <c r="C929" s="198"/>
      <c r="D929" s="36"/>
      <c r="E929" s="16"/>
      <c r="F929" s="198"/>
      <c r="G929" s="16"/>
      <c r="H929" s="16"/>
      <c r="I929" s="16"/>
      <c r="J929" s="16"/>
      <c r="K929" s="16"/>
    </row>
    <row r="930" ht="14.25" customHeight="1">
      <c r="B930" s="16"/>
      <c r="C930" s="198"/>
      <c r="D930" s="36"/>
      <c r="E930" s="16"/>
      <c r="F930" s="198"/>
      <c r="G930" s="16"/>
      <c r="H930" s="16"/>
      <c r="I930" s="16"/>
      <c r="J930" s="16"/>
      <c r="K930" s="16"/>
    </row>
    <row r="931" ht="14.25" customHeight="1">
      <c r="B931" s="16"/>
      <c r="C931" s="198"/>
      <c r="D931" s="36"/>
      <c r="E931" s="16"/>
      <c r="F931" s="198"/>
      <c r="G931" s="16"/>
      <c r="H931" s="16"/>
      <c r="I931" s="16"/>
      <c r="J931" s="16"/>
      <c r="K931" s="16"/>
    </row>
    <row r="932" ht="14.25" customHeight="1">
      <c r="B932" s="16"/>
      <c r="C932" s="198"/>
      <c r="D932" s="36"/>
      <c r="E932" s="16"/>
      <c r="F932" s="198"/>
      <c r="G932" s="16"/>
      <c r="H932" s="16"/>
      <c r="I932" s="16"/>
      <c r="J932" s="16"/>
      <c r="K932" s="16"/>
    </row>
    <row r="933" ht="14.25" customHeight="1">
      <c r="B933" s="16"/>
      <c r="C933" s="198"/>
      <c r="D933" s="36"/>
      <c r="E933" s="16"/>
      <c r="F933" s="198"/>
      <c r="G933" s="16"/>
      <c r="H933" s="16"/>
      <c r="I933" s="16"/>
      <c r="J933" s="16"/>
      <c r="K933" s="16"/>
    </row>
    <row r="934" ht="14.25" customHeight="1">
      <c r="B934" s="16"/>
      <c r="C934" s="198"/>
      <c r="D934" s="36"/>
      <c r="E934" s="16"/>
      <c r="F934" s="198"/>
      <c r="G934" s="16"/>
      <c r="H934" s="16"/>
      <c r="I934" s="16"/>
      <c r="J934" s="16"/>
      <c r="K934" s="16"/>
    </row>
    <row r="935" ht="14.25" customHeight="1">
      <c r="B935" s="16"/>
      <c r="C935" s="198"/>
      <c r="D935" s="36"/>
      <c r="E935" s="16"/>
      <c r="F935" s="198"/>
      <c r="G935" s="16"/>
      <c r="H935" s="16"/>
      <c r="I935" s="16"/>
      <c r="J935" s="16"/>
      <c r="K935" s="16"/>
    </row>
    <row r="936" ht="14.25" customHeight="1">
      <c r="B936" s="16"/>
      <c r="C936" s="198"/>
      <c r="D936" s="36"/>
      <c r="E936" s="16"/>
      <c r="F936" s="198"/>
      <c r="G936" s="16"/>
      <c r="H936" s="16"/>
      <c r="I936" s="16"/>
      <c r="J936" s="16"/>
      <c r="K936" s="16"/>
    </row>
    <row r="937" ht="14.25" customHeight="1">
      <c r="B937" s="16"/>
      <c r="C937" s="198"/>
      <c r="D937" s="36"/>
      <c r="E937" s="16"/>
      <c r="F937" s="198"/>
      <c r="G937" s="16"/>
      <c r="H937" s="16"/>
      <c r="I937" s="16"/>
      <c r="J937" s="16"/>
      <c r="K937" s="16"/>
    </row>
    <row r="938" ht="14.25" customHeight="1">
      <c r="B938" s="16"/>
      <c r="C938" s="198"/>
      <c r="D938" s="36"/>
      <c r="E938" s="16"/>
      <c r="F938" s="198"/>
      <c r="G938" s="16"/>
      <c r="H938" s="16"/>
      <c r="I938" s="16"/>
      <c r="J938" s="16"/>
      <c r="K938" s="16"/>
    </row>
    <row r="939" ht="14.25" customHeight="1">
      <c r="B939" s="16"/>
      <c r="C939" s="198"/>
      <c r="D939" s="36"/>
      <c r="E939" s="16"/>
      <c r="F939" s="198"/>
      <c r="G939" s="16"/>
      <c r="H939" s="16"/>
      <c r="I939" s="16"/>
      <c r="J939" s="16"/>
      <c r="K939" s="16"/>
    </row>
    <row r="940" ht="14.25" customHeight="1">
      <c r="B940" s="16"/>
      <c r="C940" s="198"/>
      <c r="D940" s="36"/>
      <c r="E940" s="16"/>
      <c r="F940" s="198"/>
      <c r="G940" s="16"/>
      <c r="H940" s="16"/>
      <c r="I940" s="16"/>
      <c r="J940" s="16"/>
      <c r="K940" s="16"/>
    </row>
    <row r="941" ht="14.25" customHeight="1">
      <c r="B941" s="16"/>
      <c r="C941" s="198"/>
      <c r="D941" s="36"/>
      <c r="E941" s="16"/>
      <c r="F941" s="198"/>
      <c r="G941" s="16"/>
      <c r="H941" s="16"/>
      <c r="I941" s="16"/>
      <c r="J941" s="16"/>
      <c r="K941" s="16"/>
    </row>
    <row r="942" ht="14.25" customHeight="1">
      <c r="B942" s="16"/>
      <c r="C942" s="198"/>
      <c r="D942" s="36"/>
      <c r="E942" s="16"/>
      <c r="F942" s="198"/>
      <c r="G942" s="16"/>
      <c r="H942" s="16"/>
      <c r="I942" s="16"/>
      <c r="J942" s="16"/>
      <c r="K942" s="16"/>
    </row>
    <row r="943" ht="14.25" customHeight="1">
      <c r="B943" s="16"/>
      <c r="C943" s="198"/>
      <c r="D943" s="36"/>
      <c r="E943" s="16"/>
      <c r="F943" s="198"/>
      <c r="G943" s="16"/>
      <c r="H943" s="16"/>
      <c r="I943" s="16"/>
      <c r="J943" s="16"/>
      <c r="K943" s="16"/>
    </row>
    <row r="944" ht="14.25" customHeight="1">
      <c r="B944" s="16"/>
      <c r="C944" s="198"/>
      <c r="D944" s="36"/>
      <c r="E944" s="16"/>
      <c r="F944" s="198"/>
      <c r="G944" s="16"/>
      <c r="H944" s="16"/>
      <c r="I944" s="16"/>
      <c r="J944" s="16"/>
      <c r="K944" s="16"/>
    </row>
    <row r="945" ht="14.25" customHeight="1">
      <c r="B945" s="16"/>
      <c r="C945" s="198"/>
      <c r="D945" s="36"/>
      <c r="E945" s="16"/>
      <c r="F945" s="198"/>
      <c r="G945" s="16"/>
      <c r="H945" s="16"/>
      <c r="I945" s="16"/>
      <c r="J945" s="16"/>
      <c r="K945" s="16"/>
    </row>
    <row r="946" ht="14.25" customHeight="1">
      <c r="B946" s="16"/>
      <c r="C946" s="198"/>
      <c r="D946" s="36"/>
      <c r="E946" s="16"/>
      <c r="F946" s="198"/>
      <c r="G946" s="16"/>
      <c r="H946" s="16"/>
      <c r="I946" s="16"/>
      <c r="J946" s="16"/>
      <c r="K946" s="16"/>
    </row>
    <row r="947" ht="14.25" customHeight="1">
      <c r="B947" s="16"/>
      <c r="C947" s="198"/>
      <c r="D947" s="36"/>
      <c r="E947" s="16"/>
      <c r="F947" s="198"/>
      <c r="G947" s="16"/>
      <c r="H947" s="16"/>
      <c r="I947" s="16"/>
      <c r="J947" s="16"/>
      <c r="K947" s="16"/>
    </row>
    <row r="948" ht="14.25" customHeight="1">
      <c r="B948" s="16"/>
      <c r="C948" s="198"/>
      <c r="D948" s="36"/>
      <c r="E948" s="16"/>
      <c r="F948" s="198"/>
      <c r="G948" s="16"/>
      <c r="H948" s="16"/>
      <c r="I948" s="16"/>
      <c r="J948" s="16"/>
      <c r="K948" s="16"/>
    </row>
    <row r="949" ht="14.25" customHeight="1">
      <c r="B949" s="16"/>
      <c r="C949" s="198"/>
      <c r="D949" s="36"/>
      <c r="E949" s="16"/>
      <c r="F949" s="198"/>
      <c r="G949" s="16"/>
      <c r="H949" s="16"/>
      <c r="I949" s="16"/>
      <c r="J949" s="16"/>
      <c r="K949" s="16"/>
    </row>
    <row r="950" ht="14.25" customHeight="1">
      <c r="B950" s="16"/>
      <c r="C950" s="198"/>
      <c r="D950" s="36"/>
      <c r="E950" s="16"/>
      <c r="F950" s="198"/>
      <c r="G950" s="16"/>
      <c r="H950" s="16"/>
      <c r="I950" s="16"/>
      <c r="J950" s="16"/>
      <c r="K950" s="16"/>
    </row>
    <row r="951" ht="14.25" customHeight="1">
      <c r="B951" s="16"/>
      <c r="C951" s="198"/>
      <c r="D951" s="36"/>
      <c r="E951" s="16"/>
      <c r="F951" s="198"/>
      <c r="G951" s="16"/>
      <c r="H951" s="16"/>
      <c r="I951" s="16"/>
      <c r="J951" s="16"/>
      <c r="K951" s="16"/>
    </row>
    <row r="952" ht="14.25" customHeight="1">
      <c r="B952" s="16"/>
      <c r="C952" s="198"/>
      <c r="D952" s="36"/>
      <c r="E952" s="16"/>
      <c r="F952" s="198"/>
      <c r="G952" s="16"/>
      <c r="H952" s="16"/>
      <c r="I952" s="16"/>
      <c r="J952" s="16"/>
      <c r="K952" s="16"/>
    </row>
    <row r="953" ht="14.25" customHeight="1">
      <c r="B953" s="16"/>
      <c r="C953" s="198"/>
      <c r="D953" s="36"/>
      <c r="E953" s="16"/>
      <c r="F953" s="198"/>
      <c r="G953" s="16"/>
      <c r="H953" s="16"/>
      <c r="I953" s="16"/>
      <c r="J953" s="16"/>
      <c r="K953" s="16"/>
    </row>
    <row r="954" ht="14.25" customHeight="1">
      <c r="B954" s="16"/>
      <c r="C954" s="198"/>
      <c r="D954" s="36"/>
      <c r="E954" s="16"/>
      <c r="F954" s="198"/>
      <c r="G954" s="16"/>
      <c r="H954" s="16"/>
      <c r="I954" s="16"/>
      <c r="J954" s="16"/>
      <c r="K954" s="16"/>
    </row>
    <row r="955" ht="14.25" customHeight="1">
      <c r="B955" s="16"/>
      <c r="C955" s="198"/>
      <c r="D955" s="36"/>
      <c r="E955" s="16"/>
      <c r="F955" s="198"/>
      <c r="G955" s="16"/>
      <c r="H955" s="16"/>
      <c r="I955" s="16"/>
      <c r="J955" s="16"/>
      <c r="K955" s="16"/>
    </row>
    <row r="956" ht="14.25" customHeight="1">
      <c r="B956" s="16"/>
      <c r="C956" s="198"/>
      <c r="D956" s="36"/>
      <c r="E956" s="16"/>
      <c r="F956" s="198"/>
      <c r="G956" s="16"/>
      <c r="H956" s="16"/>
      <c r="I956" s="16"/>
      <c r="J956" s="16"/>
      <c r="K956" s="16"/>
    </row>
    <row r="957" ht="14.25" customHeight="1">
      <c r="B957" s="16"/>
      <c r="C957" s="198"/>
      <c r="D957" s="36"/>
      <c r="E957" s="16"/>
      <c r="F957" s="198"/>
      <c r="G957" s="16"/>
      <c r="H957" s="16"/>
      <c r="I957" s="16"/>
      <c r="J957" s="16"/>
      <c r="K957" s="16"/>
    </row>
    <row r="958" ht="14.25" customHeight="1">
      <c r="B958" s="16"/>
      <c r="C958" s="198"/>
      <c r="D958" s="36"/>
      <c r="E958" s="16"/>
      <c r="F958" s="198"/>
      <c r="G958" s="16"/>
      <c r="H958" s="16"/>
      <c r="I958" s="16"/>
      <c r="J958" s="16"/>
      <c r="K958" s="16"/>
    </row>
    <row r="959" ht="14.25" customHeight="1">
      <c r="B959" s="16"/>
      <c r="C959" s="198"/>
      <c r="D959" s="36"/>
      <c r="E959" s="16"/>
      <c r="F959" s="198"/>
      <c r="G959" s="16"/>
      <c r="H959" s="16"/>
      <c r="I959" s="16"/>
      <c r="J959" s="16"/>
      <c r="K959" s="16"/>
    </row>
    <row r="960" ht="14.25" customHeight="1">
      <c r="B960" s="16"/>
      <c r="C960" s="198"/>
      <c r="D960" s="36"/>
      <c r="E960" s="16"/>
      <c r="F960" s="198"/>
      <c r="G960" s="16"/>
      <c r="H960" s="16"/>
      <c r="I960" s="16"/>
      <c r="J960" s="16"/>
      <c r="K960" s="16"/>
    </row>
    <row r="961" ht="14.25" customHeight="1">
      <c r="B961" s="16"/>
      <c r="C961" s="198"/>
      <c r="D961" s="36"/>
      <c r="E961" s="16"/>
      <c r="F961" s="198"/>
      <c r="G961" s="16"/>
      <c r="H961" s="16"/>
      <c r="I961" s="16"/>
      <c r="J961" s="16"/>
      <c r="K961" s="16"/>
    </row>
    <row r="962" ht="14.25" customHeight="1">
      <c r="B962" s="16"/>
      <c r="C962" s="198"/>
      <c r="D962" s="36"/>
      <c r="E962" s="16"/>
      <c r="F962" s="198"/>
      <c r="G962" s="16"/>
      <c r="H962" s="16"/>
      <c r="I962" s="16"/>
      <c r="J962" s="16"/>
      <c r="K962" s="16"/>
    </row>
    <row r="963" ht="14.25" customHeight="1">
      <c r="B963" s="16"/>
      <c r="C963" s="198"/>
      <c r="D963" s="36"/>
      <c r="E963" s="16"/>
      <c r="F963" s="198"/>
      <c r="G963" s="16"/>
      <c r="H963" s="16"/>
      <c r="I963" s="16"/>
      <c r="J963" s="16"/>
      <c r="K963" s="16"/>
    </row>
    <row r="964" ht="14.25" customHeight="1">
      <c r="B964" s="16"/>
      <c r="C964" s="198"/>
      <c r="D964" s="36"/>
      <c r="E964" s="16"/>
      <c r="F964" s="198"/>
      <c r="G964" s="16"/>
      <c r="H964" s="16"/>
      <c r="I964" s="16"/>
      <c r="J964" s="16"/>
      <c r="K964" s="16"/>
    </row>
    <row r="965" ht="14.25" customHeight="1">
      <c r="B965" s="16"/>
      <c r="C965" s="198"/>
      <c r="D965" s="36"/>
      <c r="E965" s="16"/>
      <c r="F965" s="198"/>
      <c r="G965" s="16"/>
      <c r="H965" s="16"/>
      <c r="I965" s="16"/>
      <c r="J965" s="16"/>
      <c r="K965" s="16"/>
    </row>
    <row r="966" ht="14.25" customHeight="1">
      <c r="B966" s="16"/>
      <c r="C966" s="198"/>
      <c r="D966" s="36"/>
      <c r="E966" s="16"/>
      <c r="F966" s="198"/>
      <c r="G966" s="16"/>
      <c r="H966" s="16"/>
      <c r="I966" s="16"/>
      <c r="J966" s="16"/>
      <c r="K966" s="16"/>
    </row>
    <row r="967" ht="14.25" customHeight="1">
      <c r="B967" s="16"/>
      <c r="C967" s="198"/>
      <c r="D967" s="36"/>
      <c r="E967" s="16"/>
      <c r="F967" s="198"/>
      <c r="G967" s="16"/>
      <c r="H967" s="16"/>
      <c r="I967" s="16"/>
      <c r="J967" s="16"/>
      <c r="K967" s="16"/>
    </row>
    <row r="968" ht="14.25" customHeight="1">
      <c r="B968" s="16"/>
      <c r="C968" s="198"/>
      <c r="D968" s="36"/>
      <c r="E968" s="16"/>
      <c r="F968" s="198"/>
      <c r="G968" s="16"/>
      <c r="H968" s="16"/>
      <c r="I968" s="16"/>
      <c r="J968" s="16"/>
      <c r="K968" s="16"/>
    </row>
    <row r="969" ht="14.25" customHeight="1">
      <c r="B969" s="16"/>
      <c r="C969" s="198"/>
      <c r="D969" s="36"/>
      <c r="E969" s="16"/>
      <c r="F969" s="198"/>
      <c r="G969" s="16"/>
      <c r="H969" s="16"/>
      <c r="I969" s="16"/>
      <c r="J969" s="16"/>
      <c r="K969" s="16"/>
    </row>
    <row r="970" ht="14.25" customHeight="1">
      <c r="B970" s="16"/>
      <c r="C970" s="198"/>
      <c r="D970" s="36"/>
      <c r="E970" s="16"/>
      <c r="F970" s="198"/>
      <c r="G970" s="16"/>
      <c r="H970" s="16"/>
      <c r="I970" s="16"/>
      <c r="J970" s="16"/>
      <c r="K970" s="16"/>
    </row>
    <row r="971" ht="14.25" customHeight="1">
      <c r="B971" s="16"/>
      <c r="C971" s="198"/>
      <c r="D971" s="36"/>
      <c r="E971" s="16"/>
      <c r="F971" s="198"/>
      <c r="G971" s="16"/>
      <c r="H971" s="16"/>
      <c r="I971" s="16"/>
      <c r="J971" s="16"/>
      <c r="K971" s="16"/>
    </row>
    <row r="972" ht="14.25" customHeight="1">
      <c r="B972" s="16"/>
      <c r="C972" s="198"/>
      <c r="D972" s="36"/>
      <c r="E972" s="16"/>
      <c r="F972" s="198"/>
      <c r="G972" s="16"/>
      <c r="H972" s="16"/>
      <c r="I972" s="16"/>
      <c r="J972" s="16"/>
      <c r="K972" s="16"/>
    </row>
    <row r="973" ht="14.25" customHeight="1">
      <c r="B973" s="16"/>
      <c r="C973" s="198"/>
      <c r="D973" s="36"/>
      <c r="E973" s="16"/>
      <c r="F973" s="198"/>
      <c r="G973" s="16"/>
      <c r="H973" s="16"/>
      <c r="I973" s="16"/>
      <c r="J973" s="16"/>
      <c r="K973" s="16"/>
    </row>
    <row r="974" ht="14.25" customHeight="1">
      <c r="B974" s="16"/>
      <c r="C974" s="198"/>
      <c r="D974" s="36"/>
      <c r="E974" s="16"/>
      <c r="F974" s="198"/>
      <c r="G974" s="16"/>
      <c r="H974" s="16"/>
      <c r="I974" s="16"/>
      <c r="J974" s="16"/>
      <c r="K974" s="16"/>
    </row>
    <row r="975" ht="14.25" customHeight="1">
      <c r="B975" s="16"/>
      <c r="C975" s="198"/>
      <c r="D975" s="36"/>
      <c r="E975" s="16"/>
      <c r="F975" s="198"/>
      <c r="G975" s="16"/>
      <c r="H975" s="16"/>
      <c r="I975" s="16"/>
      <c r="J975" s="16"/>
      <c r="K975" s="16"/>
    </row>
    <row r="976" ht="14.25" customHeight="1">
      <c r="B976" s="16"/>
      <c r="C976" s="198"/>
      <c r="D976" s="36"/>
      <c r="E976" s="16"/>
      <c r="F976" s="198"/>
      <c r="G976" s="16"/>
      <c r="H976" s="16"/>
      <c r="I976" s="16"/>
      <c r="J976" s="16"/>
      <c r="K976" s="16"/>
    </row>
    <row r="977" ht="14.25" customHeight="1">
      <c r="B977" s="16"/>
      <c r="C977" s="198"/>
      <c r="D977" s="36"/>
      <c r="E977" s="16"/>
      <c r="F977" s="198"/>
      <c r="G977" s="16"/>
      <c r="H977" s="16"/>
      <c r="I977" s="16"/>
      <c r="J977" s="16"/>
      <c r="K977" s="16"/>
    </row>
    <row r="978" ht="14.25" customHeight="1">
      <c r="B978" s="16"/>
      <c r="C978" s="198"/>
      <c r="D978" s="36"/>
      <c r="E978" s="16"/>
      <c r="F978" s="198"/>
      <c r="G978" s="16"/>
      <c r="H978" s="16"/>
      <c r="I978" s="16"/>
      <c r="J978" s="16"/>
      <c r="K978" s="16"/>
    </row>
    <row r="979" ht="14.25" customHeight="1">
      <c r="B979" s="16"/>
      <c r="C979" s="198"/>
      <c r="D979" s="36"/>
      <c r="E979" s="16"/>
      <c r="F979" s="198"/>
      <c r="G979" s="16"/>
      <c r="H979" s="16"/>
      <c r="I979" s="16"/>
      <c r="J979" s="16"/>
      <c r="K979" s="16"/>
    </row>
    <row r="980" ht="14.25" customHeight="1">
      <c r="B980" s="16"/>
      <c r="C980" s="198"/>
      <c r="D980" s="36"/>
      <c r="E980" s="16"/>
      <c r="F980" s="198"/>
      <c r="G980" s="16"/>
      <c r="H980" s="16"/>
      <c r="I980" s="16"/>
      <c r="J980" s="16"/>
      <c r="K980" s="16"/>
    </row>
    <row r="981" ht="14.25" customHeight="1">
      <c r="B981" s="16"/>
      <c r="C981" s="198"/>
      <c r="D981" s="36"/>
      <c r="E981" s="16"/>
      <c r="F981" s="198"/>
      <c r="G981" s="16"/>
      <c r="H981" s="16"/>
      <c r="I981" s="16"/>
      <c r="J981" s="16"/>
      <c r="K981" s="16"/>
    </row>
    <row r="982" ht="14.25" customHeight="1">
      <c r="B982" s="16"/>
      <c r="C982" s="198"/>
      <c r="D982" s="36"/>
      <c r="E982" s="16"/>
      <c r="F982" s="198"/>
      <c r="G982" s="16"/>
      <c r="H982" s="16"/>
      <c r="I982" s="16"/>
      <c r="J982" s="16"/>
      <c r="K982" s="16"/>
    </row>
    <row r="983" ht="14.25" customHeight="1">
      <c r="B983" s="16"/>
      <c r="C983" s="198"/>
      <c r="D983" s="36"/>
      <c r="E983" s="16"/>
      <c r="F983" s="198"/>
      <c r="G983" s="16"/>
      <c r="H983" s="16"/>
      <c r="I983" s="16"/>
      <c r="J983" s="16"/>
      <c r="K983" s="16"/>
    </row>
    <row r="984" ht="14.25" customHeight="1">
      <c r="B984" s="16"/>
      <c r="C984" s="198"/>
      <c r="D984" s="36"/>
      <c r="E984" s="16"/>
      <c r="F984" s="198"/>
      <c r="G984" s="16"/>
      <c r="H984" s="16"/>
      <c r="I984" s="16"/>
      <c r="J984" s="16"/>
      <c r="K984" s="16"/>
    </row>
    <row r="985" ht="14.25" customHeight="1">
      <c r="B985" s="16"/>
      <c r="C985" s="198"/>
      <c r="D985" s="36"/>
      <c r="E985" s="16"/>
      <c r="F985" s="198"/>
      <c r="G985" s="16"/>
      <c r="H985" s="16"/>
      <c r="I985" s="16"/>
      <c r="J985" s="16"/>
      <c r="K985" s="16"/>
    </row>
    <row r="986" ht="14.25" customHeight="1">
      <c r="B986" s="16"/>
      <c r="C986" s="198"/>
      <c r="D986" s="36"/>
      <c r="E986" s="16"/>
      <c r="F986" s="198"/>
      <c r="G986" s="16"/>
      <c r="H986" s="16"/>
      <c r="I986" s="16"/>
      <c r="J986" s="16"/>
      <c r="K986" s="16"/>
    </row>
    <row r="987" ht="14.25" customHeight="1">
      <c r="B987" s="16"/>
      <c r="C987" s="198"/>
      <c r="D987" s="36"/>
      <c r="E987" s="16"/>
      <c r="F987" s="198"/>
      <c r="G987" s="16"/>
      <c r="H987" s="16"/>
      <c r="I987" s="16"/>
      <c r="J987" s="16"/>
      <c r="K987" s="16"/>
    </row>
    <row r="988" ht="14.25" customHeight="1">
      <c r="B988" s="16"/>
      <c r="C988" s="198"/>
      <c r="D988" s="36"/>
      <c r="E988" s="16"/>
      <c r="F988" s="198"/>
      <c r="G988" s="16"/>
      <c r="H988" s="16"/>
      <c r="I988" s="16"/>
      <c r="J988" s="16"/>
      <c r="K988" s="16"/>
    </row>
    <row r="989" ht="14.25" customHeight="1">
      <c r="B989" s="16"/>
      <c r="C989" s="198"/>
      <c r="D989" s="36"/>
      <c r="E989" s="16"/>
      <c r="F989" s="198"/>
      <c r="G989" s="16"/>
      <c r="H989" s="16"/>
      <c r="I989" s="16"/>
      <c r="J989" s="16"/>
      <c r="K989" s="16"/>
    </row>
    <row r="990" ht="14.25" customHeight="1">
      <c r="B990" s="16"/>
      <c r="C990" s="198"/>
      <c r="D990" s="36"/>
      <c r="E990" s="16"/>
      <c r="F990" s="198"/>
      <c r="G990" s="16"/>
      <c r="H990" s="16"/>
      <c r="I990" s="16"/>
      <c r="J990" s="16"/>
      <c r="K990" s="16"/>
    </row>
    <row r="991" ht="14.25" customHeight="1">
      <c r="B991" s="16"/>
      <c r="C991" s="198"/>
      <c r="D991" s="36"/>
      <c r="E991" s="16"/>
      <c r="F991" s="198"/>
      <c r="G991" s="16"/>
      <c r="H991" s="16"/>
      <c r="I991" s="16"/>
      <c r="J991" s="16"/>
      <c r="K991" s="16"/>
    </row>
    <row r="992" ht="14.25" customHeight="1">
      <c r="B992" s="16"/>
      <c r="C992" s="198"/>
      <c r="D992" s="36"/>
      <c r="E992" s="16"/>
      <c r="F992" s="198"/>
      <c r="G992" s="16"/>
      <c r="H992" s="16"/>
      <c r="I992" s="16"/>
      <c r="J992" s="16"/>
      <c r="K992" s="16"/>
    </row>
    <row r="993" ht="14.25" customHeight="1">
      <c r="B993" s="16"/>
      <c r="C993" s="198"/>
      <c r="D993" s="36"/>
      <c r="E993" s="16"/>
      <c r="F993" s="198"/>
      <c r="G993" s="16"/>
      <c r="H993" s="16"/>
      <c r="I993" s="16"/>
      <c r="J993" s="16"/>
      <c r="K993" s="16"/>
    </row>
    <row r="994" ht="14.25" customHeight="1">
      <c r="B994" s="16"/>
      <c r="C994" s="198"/>
      <c r="D994" s="36"/>
      <c r="E994" s="16"/>
      <c r="F994" s="198"/>
      <c r="G994" s="16"/>
      <c r="H994" s="16"/>
      <c r="I994" s="16"/>
      <c r="J994" s="16"/>
      <c r="K994" s="16"/>
    </row>
    <row r="995" ht="14.25" customHeight="1">
      <c r="B995" s="16"/>
      <c r="C995" s="198"/>
      <c r="D995" s="36"/>
      <c r="E995" s="16"/>
      <c r="F995" s="198"/>
      <c r="G995" s="16"/>
      <c r="H995" s="16"/>
      <c r="I995" s="16"/>
      <c r="J995" s="16"/>
      <c r="K995" s="16"/>
    </row>
    <row r="996" ht="14.25" customHeight="1">
      <c r="B996" s="16"/>
      <c r="C996" s="198"/>
      <c r="D996" s="36"/>
      <c r="E996" s="16"/>
      <c r="F996" s="198"/>
      <c r="G996" s="16"/>
      <c r="H996" s="16"/>
      <c r="I996" s="16"/>
      <c r="J996" s="16"/>
      <c r="K996" s="16"/>
    </row>
    <row r="997" ht="14.25" customHeight="1">
      <c r="B997" s="16"/>
      <c r="C997" s="198"/>
      <c r="D997" s="36"/>
      <c r="E997" s="16"/>
      <c r="F997" s="198"/>
      <c r="G997" s="16"/>
      <c r="H997" s="16"/>
      <c r="I997" s="16"/>
      <c r="J997" s="16"/>
      <c r="K997" s="16"/>
    </row>
    <row r="998" ht="14.25" customHeight="1">
      <c r="B998" s="16"/>
      <c r="C998" s="198"/>
      <c r="D998" s="36"/>
      <c r="E998" s="16"/>
      <c r="F998" s="198"/>
      <c r="G998" s="16"/>
      <c r="H998" s="16"/>
      <c r="I998" s="16"/>
      <c r="J998" s="16"/>
      <c r="K998" s="16"/>
    </row>
    <row r="999" ht="14.25" customHeight="1">
      <c r="B999" s="16"/>
      <c r="C999" s="198"/>
      <c r="D999" s="36"/>
      <c r="E999" s="16"/>
      <c r="F999" s="198"/>
      <c r="G999" s="16"/>
      <c r="H999" s="16"/>
      <c r="I999" s="16"/>
      <c r="J999" s="16"/>
      <c r="K999" s="16"/>
    </row>
    <row r="1000" ht="14.25" customHeight="1">
      <c r="B1000" s="16"/>
      <c r="C1000" s="198"/>
      <c r="D1000" s="36"/>
      <c r="E1000" s="16"/>
      <c r="F1000" s="198"/>
      <c r="G1000" s="16"/>
      <c r="H1000" s="16"/>
      <c r="I1000" s="16"/>
      <c r="J1000" s="16"/>
      <c r="K1000" s="16"/>
    </row>
  </sheetData>
  <mergeCells count="1">
    <mergeCell ref="B1:K2"/>
  </mergeCells>
  <conditionalFormatting sqref="C35:K35">
    <cfRule type="cellIs" dxfId="0" priority="1" operator="lessThan">
      <formula>0</formula>
    </cfRule>
  </conditionalFormatting>
  <conditionalFormatting sqref="C35:K35">
    <cfRule type="cellIs" dxfId="1" priority="2" operator="greaterThan">
      <formula>0</formula>
    </cfRule>
  </conditionalFormatting>
  <printOptions/>
  <pageMargins bottom="0.75" footer="0.0" header="0.0" left="0.7" right="0.7" top="0.75"/>
  <pageSetup orientation="portrait"/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7.14"/>
    <col customWidth="1" min="3" max="3" width="15.71"/>
    <col customWidth="1" min="4" max="4" width="10.57"/>
    <col customWidth="1" min="5" max="5" width="11.86"/>
    <col customWidth="1" min="6" max="6" width="37.43"/>
    <col customWidth="1" min="7" max="7" width="11.57"/>
    <col customWidth="1" min="8" max="8" width="8.43"/>
    <col customWidth="1" min="9" max="9" width="11.0"/>
    <col customWidth="1" min="10" max="26" width="5.0"/>
  </cols>
  <sheetData>
    <row r="1" ht="14.25" customHeight="1">
      <c r="A1" s="20" t="s">
        <v>156</v>
      </c>
      <c r="B1" s="20" t="s">
        <v>157</v>
      </c>
      <c r="C1" s="20" t="s">
        <v>158</v>
      </c>
      <c r="D1" s="20" t="s">
        <v>159</v>
      </c>
      <c r="E1" s="20" t="s">
        <v>160</v>
      </c>
      <c r="F1" s="20" t="s">
        <v>161</v>
      </c>
      <c r="G1" s="20" t="s">
        <v>89</v>
      </c>
      <c r="H1" s="199" t="s">
        <v>162</v>
      </c>
      <c r="I1" s="20" t="s">
        <v>163</v>
      </c>
    </row>
    <row r="2" ht="14.25" customHeight="1">
      <c r="A2" s="27" t="s">
        <v>164</v>
      </c>
      <c r="B2" s="27" t="s">
        <v>165</v>
      </c>
      <c r="C2" s="199">
        <v>4006.0</v>
      </c>
      <c r="D2" s="200">
        <f>'WE 12.10.25'!I5</f>
        <v>45942</v>
      </c>
      <c r="E2" s="200" t="s">
        <v>166</v>
      </c>
      <c r="F2" s="200" t="str">
        <f>'WE 12.10.25'!B101 &amp; 'IMPORT SHEET'!E2</f>
        <v>FIRE FOOD LUNCH WE 12.10.25</v>
      </c>
      <c r="G2" s="27">
        <f>'WE 12.10.25'!G101</f>
        <v>20559</v>
      </c>
      <c r="H2" s="137" t="str">
        <f>'WE 12.10.25'!I101</f>
        <v>T3</v>
      </c>
      <c r="I2" s="27">
        <f>'WE 12.10.25'!H101</f>
        <v>2775.465</v>
      </c>
    </row>
    <row r="3" ht="14.25" customHeight="1">
      <c r="A3" s="27" t="s">
        <v>164</v>
      </c>
      <c r="B3" s="27" t="s">
        <v>165</v>
      </c>
      <c r="C3" s="199">
        <v>4008.0</v>
      </c>
      <c r="D3" s="200">
        <f t="shared" ref="D3:E3" si="1">D2</f>
        <v>45942</v>
      </c>
      <c r="E3" s="200" t="str">
        <f t="shared" si="1"/>
        <v>WE 12.10.25</v>
      </c>
      <c r="F3" s="200" t="str">
        <f>'WE 12.10.25'!B102&amp;'IMPORT SHEET'!E3</f>
        <v>FIRE FOOD DINNER WE 12.10.25</v>
      </c>
      <c r="G3" s="27">
        <f>'WE 12.10.25'!G102</f>
        <v>89217.7489</v>
      </c>
      <c r="H3" s="137" t="str">
        <f>'WE 12.10.25'!I102</f>
        <v>T3</v>
      </c>
      <c r="I3" s="27">
        <f>'WE 12.10.25'!H102</f>
        <v>12044.3961</v>
      </c>
    </row>
    <row r="4" ht="14.25" customHeight="1">
      <c r="A4" s="27" t="s">
        <v>164</v>
      </c>
      <c r="B4" s="27" t="s">
        <v>165</v>
      </c>
      <c r="C4" s="199">
        <v>4007.0</v>
      </c>
      <c r="D4" s="200">
        <f t="shared" ref="D4:E4" si="2">D3</f>
        <v>45942</v>
      </c>
      <c r="E4" s="200" t="str">
        <f t="shared" si="2"/>
        <v>WE 12.10.25</v>
      </c>
      <c r="F4" s="200" t="str">
        <f>'WE 12.10.25'!B104&amp;'IMPORT SHEET'!E4</f>
        <v>FIRE DRINK LUNCH WE 12.10.25</v>
      </c>
      <c r="G4" s="27">
        <f>'WE 12.10.25'!G104</f>
        <v>8761</v>
      </c>
      <c r="H4" s="137" t="str">
        <f>'WE 12.10.25'!I104</f>
        <v>T1</v>
      </c>
      <c r="I4" s="27">
        <f>'WE 12.10.25'!H104</f>
        <v>2015.03</v>
      </c>
    </row>
    <row r="5" ht="14.25" customHeight="1">
      <c r="A5" s="27" t="s">
        <v>164</v>
      </c>
      <c r="B5" s="27" t="s">
        <v>165</v>
      </c>
      <c r="C5" s="199">
        <v>4009.0</v>
      </c>
      <c r="D5" s="200">
        <f t="shared" ref="D5:E5" si="3">D4</f>
        <v>45942</v>
      </c>
      <c r="E5" s="200" t="str">
        <f t="shared" si="3"/>
        <v>WE 12.10.25</v>
      </c>
      <c r="F5" s="200" t="str">
        <f>'WE 12.10.25'!B105&amp;'IMPORT SHEET'!E5</f>
        <v>FIRE DRINK DINNER WE 12.10.25</v>
      </c>
      <c r="G5" s="27">
        <f>'WE 12.10.25'!G105</f>
        <v>46024.60976</v>
      </c>
      <c r="H5" s="137" t="str">
        <f>'WE 12.10.25'!I105</f>
        <v>T1</v>
      </c>
      <c r="I5" s="27">
        <f>'WE 12.10.25'!H105</f>
        <v>10585.66024</v>
      </c>
    </row>
    <row r="6" ht="14.25" customHeight="1">
      <c r="A6" s="27" t="s">
        <v>164</v>
      </c>
      <c r="B6" s="27" t="s">
        <v>165</v>
      </c>
      <c r="C6" s="199">
        <v>2102.0</v>
      </c>
      <c r="D6" s="200">
        <f t="shared" ref="D6:E6" si="4">D5</f>
        <v>45942</v>
      </c>
      <c r="E6" s="200" t="str">
        <f t="shared" si="4"/>
        <v>WE 12.10.25</v>
      </c>
      <c r="F6" s="20" t="str">
        <f>'WE 12.10.25'!B96&amp;'IMPORT SHEET'!E6</f>
        <v>12.5% SERVICE CHARGE WE 12.10.25</v>
      </c>
      <c r="G6" s="27">
        <f>'WE 12.10.25'!G96</f>
        <v>8341.427313</v>
      </c>
      <c r="H6" s="137" t="str">
        <f>'WE 12.10.25'!I96</f>
        <v>T3</v>
      </c>
      <c r="I6" s="27">
        <f>'WE 12.10.25'!H96</f>
        <v>1126.092687</v>
      </c>
    </row>
    <row r="7" ht="14.25" customHeight="1">
      <c r="A7" s="27" t="s">
        <v>164</v>
      </c>
      <c r="B7" s="27" t="s">
        <v>165</v>
      </c>
      <c r="C7" s="199">
        <v>4170.0</v>
      </c>
      <c r="D7" s="200">
        <f t="shared" ref="D7:E7" si="5">D6</f>
        <v>45942</v>
      </c>
      <c r="E7" s="200" t="str">
        <f t="shared" si="5"/>
        <v>WE 12.10.25</v>
      </c>
      <c r="F7" s="20" t="str">
        <f>'WE 12.10.25'!B97&amp;'IMPORT SHEET'!E7</f>
        <v>FIRE DRINK TAKE AWAY WE 12.10.25</v>
      </c>
      <c r="G7" s="27">
        <f>'WE 12.10.25'!G97</f>
        <v>145.6666667</v>
      </c>
      <c r="H7" s="199" t="str">
        <f>'WE 12.10.25'!I97</f>
        <v>T1</v>
      </c>
      <c r="I7" s="27">
        <f>'WE 12.10.25'!H97</f>
        <v>33.50333333</v>
      </c>
    </row>
    <row r="8" ht="14.25" customHeight="1">
      <c r="A8" s="27" t="s">
        <v>164</v>
      </c>
      <c r="B8" s="27" t="s">
        <v>165</v>
      </c>
      <c r="C8" s="199">
        <v>4120.0</v>
      </c>
      <c r="D8" s="200">
        <f t="shared" ref="D8:E8" si="6">D7</f>
        <v>45942</v>
      </c>
      <c r="E8" s="200" t="str">
        <f t="shared" si="6"/>
        <v>WE 12.10.25</v>
      </c>
      <c r="F8" s="20" t="str">
        <f>'WE 12.10.25'!B98&amp;'IMPORT SHEET'!E8</f>
        <v>ROOM HIRE / OTHER WE 12.10.25</v>
      </c>
      <c r="G8" s="27">
        <f>'WE 12.10.25'!G98</f>
        <v>39.02439024</v>
      </c>
      <c r="H8" s="199" t="str">
        <f>'WE 12.10.25'!I98</f>
        <v>T1</v>
      </c>
      <c r="I8" s="27">
        <f>'WE 12.10.25'!H98</f>
        <v>8.975609756</v>
      </c>
    </row>
    <row r="9" ht="14.25" customHeight="1">
      <c r="A9" s="27" t="s">
        <v>164</v>
      </c>
      <c r="B9" s="27" t="s">
        <v>165</v>
      </c>
      <c r="C9" s="199">
        <v>2102.0</v>
      </c>
      <c r="D9" s="200">
        <f t="shared" ref="D9:E9" si="7">D8</f>
        <v>45942</v>
      </c>
      <c r="E9" s="200" t="str">
        <f t="shared" si="7"/>
        <v>WE 12.10.25</v>
      </c>
      <c r="F9" s="20" t="str">
        <f>'WE 12.10.25'!B25&amp;'IMPORT SHEET'!E9</f>
        <v>CREDIT CARD TIPS WE 12.10.25</v>
      </c>
      <c r="G9" s="27">
        <f>'WE 12.10.25'!J25</f>
        <v>11178.79</v>
      </c>
      <c r="H9" s="199" t="s">
        <v>109</v>
      </c>
      <c r="I9" s="27">
        <v>0.0</v>
      </c>
    </row>
    <row r="10" ht="14.25" customHeight="1">
      <c r="A10" s="27" t="s">
        <v>164</v>
      </c>
      <c r="B10" s="27" t="s">
        <v>165</v>
      </c>
      <c r="C10" s="199">
        <v>2102.0</v>
      </c>
      <c r="D10" s="200">
        <f t="shared" ref="D10:E10" si="8">D9</f>
        <v>45942</v>
      </c>
      <c r="E10" s="200" t="str">
        <f t="shared" si="8"/>
        <v>WE 12.10.25</v>
      </c>
      <c r="F10" s="20" t="str">
        <f>'WE 12.10.25'!B26&amp;'IMPORT SHEET'!E10</f>
        <v>ROUNDED BILLS WE 12.10.25</v>
      </c>
      <c r="G10" s="27">
        <f>'WE 12.10.25'!J26</f>
        <v>86.3</v>
      </c>
      <c r="H10" s="199" t="s">
        <v>109</v>
      </c>
      <c r="I10" s="27">
        <v>0.0</v>
      </c>
    </row>
    <row r="11" ht="14.25" customHeight="1">
      <c r="A11" s="27" t="s">
        <v>167</v>
      </c>
      <c r="B11" s="27" t="s">
        <v>165</v>
      </c>
      <c r="C11" s="199">
        <v>5170.0</v>
      </c>
      <c r="D11" s="200">
        <f t="shared" ref="D11:E11" si="9">D10</f>
        <v>45942</v>
      </c>
      <c r="E11" s="200" t="str">
        <f t="shared" si="9"/>
        <v>WE 12.10.25</v>
      </c>
      <c r="F11" s="20" t="str">
        <f>'WE 12.10.25'!$C$108&amp;'IMPORT SHEET'!E11</f>
        <v>FIRE FOOD COMPS WE 12.10.25</v>
      </c>
      <c r="G11" s="27">
        <f>'WE 12.10.25'!C136</f>
        <v>831.3</v>
      </c>
      <c r="H11" s="201" t="str">
        <f>'WE 12.10.25'!C138</f>
        <v>T9</v>
      </c>
      <c r="I11" s="27">
        <v>0.0</v>
      </c>
    </row>
    <row r="12" ht="14.25" customHeight="1">
      <c r="A12" s="27" t="s">
        <v>167</v>
      </c>
      <c r="B12" s="27" t="s">
        <v>165</v>
      </c>
      <c r="C12" s="199">
        <v>5170.0</v>
      </c>
      <c r="D12" s="200">
        <f t="shared" ref="D12:E12" si="10">D11</f>
        <v>45942</v>
      </c>
      <c r="E12" s="200" t="str">
        <f t="shared" si="10"/>
        <v>WE 12.10.25</v>
      </c>
      <c r="F12" s="20" t="str">
        <f>'WE 12.10.25'!$D$108&amp;'IMPORT SHEET'!E12</f>
        <v>FIRE DRINK COMPS WE 12.10.25</v>
      </c>
      <c r="G12" s="27">
        <f>'WE 12.10.25'!D136</f>
        <v>317.3</v>
      </c>
      <c r="H12" s="201" t="str">
        <f>'WE 12.10.25'!D138</f>
        <v>T9</v>
      </c>
      <c r="I12" s="27">
        <v>0.0</v>
      </c>
    </row>
    <row r="13" ht="14.25" customHeight="1">
      <c r="A13" s="27" t="s">
        <v>167</v>
      </c>
      <c r="B13" s="27" t="s">
        <v>165</v>
      </c>
      <c r="C13" s="199">
        <v>7900.0</v>
      </c>
      <c r="D13" s="200">
        <f t="shared" ref="D13:E13" si="11">D12</f>
        <v>45942</v>
      </c>
      <c r="E13" s="200" t="str">
        <f t="shared" si="11"/>
        <v>WE 12.10.25</v>
      </c>
      <c r="F13" s="20" t="str">
        <f>'WE 12.10.25'!D158&amp;'IMPORT SHEET'!E13</f>
        <v>FIRE FOOD LOYALTY WE 12.10.25</v>
      </c>
      <c r="G13" s="27">
        <f>'WE 12.10.25'!D166</f>
        <v>99.11894273</v>
      </c>
      <c r="H13" s="201" t="str">
        <f>'WE 12.10.25'!D140</f>
        <v>T3</v>
      </c>
      <c r="I13" s="27">
        <f>'WE 12.10.25'!D168</f>
        <v>13.38105727</v>
      </c>
    </row>
    <row r="14" ht="14.25" customHeight="1">
      <c r="A14" s="27" t="s">
        <v>167</v>
      </c>
      <c r="B14" s="27" t="s">
        <v>165</v>
      </c>
      <c r="C14" s="199">
        <v>7900.0</v>
      </c>
      <c r="D14" s="200">
        <f t="shared" ref="D14:E14" si="12">D13</f>
        <v>45942</v>
      </c>
      <c r="E14" s="200" t="str">
        <f t="shared" si="12"/>
        <v>WE 12.10.25</v>
      </c>
      <c r="F14" s="20" t="str">
        <f>'WE 12.10.25'!E158&amp;'IMPORT SHEET'!E14</f>
        <v>FIRE DRINK LOYALTY WE 12.10.25</v>
      </c>
      <c r="G14" s="27">
        <f>'WE 12.10.25'!E166</f>
        <v>30.48780488</v>
      </c>
      <c r="H14" s="199" t="str">
        <f>'WE 12.10.25'!E140</f>
        <v>T1</v>
      </c>
      <c r="I14" s="27">
        <f>'WE 12.10.25'!E168</f>
        <v>7.012195122</v>
      </c>
    </row>
    <row r="15" ht="14.25" customHeight="1">
      <c r="A15" s="27" t="s">
        <v>167</v>
      </c>
      <c r="B15" s="27" t="s">
        <v>165</v>
      </c>
      <c r="C15" s="199">
        <v>4008.0</v>
      </c>
      <c r="D15" s="200">
        <f t="shared" ref="D15:E15" si="13">D14</f>
        <v>45942</v>
      </c>
      <c r="E15" s="200" t="str">
        <f t="shared" si="13"/>
        <v>WE 12.10.25</v>
      </c>
      <c r="F15" s="20" t="str">
        <f>'WE 12.10.25'!D141&amp;'IMPORT SHEET'!E15</f>
        <v>FIRE FOOD DISCOUNT WE 12.10.25</v>
      </c>
      <c r="G15" s="27">
        <f>'WE 12.10.25'!D154</f>
        <v>100.784141</v>
      </c>
      <c r="H15" s="202" t="str">
        <f>'WE 12.10.25'!D157</f>
        <v>T3</v>
      </c>
      <c r="I15" s="27">
        <f>'WE 12.10.25'!$D$156</f>
        <v>13.60585903</v>
      </c>
    </row>
    <row r="16" ht="14.25" customHeight="1">
      <c r="A16" s="27" t="s">
        <v>167</v>
      </c>
      <c r="B16" s="27" t="s">
        <v>165</v>
      </c>
      <c r="C16" s="199">
        <v>4009.0</v>
      </c>
      <c r="D16" s="200">
        <f t="shared" ref="D16:E16" si="14">D15</f>
        <v>45942</v>
      </c>
      <c r="E16" s="200" t="str">
        <f t="shared" si="14"/>
        <v>WE 12.10.25</v>
      </c>
      <c r="F16" s="20" t="str">
        <f>'WE 12.10.25'!E141&amp;'IMPORT SHEET'!E16</f>
        <v>FIRE DRINK DISCOUNT WE 12.10.25</v>
      </c>
      <c r="G16" s="27">
        <f>'WE 12.10.25'!E154</f>
        <v>31</v>
      </c>
      <c r="H16" s="202" t="str">
        <f>'WE 12.10.25'!E157</f>
        <v>T1</v>
      </c>
      <c r="I16" s="27">
        <f>'WE 12.10.25'!$E$156</f>
        <v>7.13</v>
      </c>
    </row>
    <row r="17" ht="14.25" customHeight="1">
      <c r="H17" s="199"/>
    </row>
    <row r="18" ht="14.25" customHeight="1">
      <c r="H18" s="199"/>
    </row>
    <row r="19" ht="14.25" customHeight="1">
      <c r="H19" s="199"/>
    </row>
    <row r="20" ht="14.25" customHeight="1">
      <c r="H20" s="199"/>
    </row>
    <row r="21" ht="14.25" customHeight="1">
      <c r="H21" s="199"/>
    </row>
    <row r="22" ht="14.25" customHeight="1">
      <c r="H22" s="199"/>
    </row>
    <row r="23" ht="14.25" customHeight="1">
      <c r="H23" s="199"/>
    </row>
    <row r="24" ht="14.25" customHeight="1">
      <c r="H24" s="199"/>
    </row>
    <row r="25" ht="14.25" customHeight="1">
      <c r="H25" s="199"/>
    </row>
    <row r="26" ht="14.25" customHeight="1">
      <c r="H26" s="199"/>
    </row>
    <row r="27" ht="14.25" customHeight="1">
      <c r="H27" s="199"/>
    </row>
    <row r="28" ht="14.25" customHeight="1">
      <c r="H28" s="199"/>
    </row>
    <row r="29" ht="14.25" customHeight="1">
      <c r="H29" s="199"/>
    </row>
    <row r="30" ht="14.25" customHeight="1">
      <c r="H30" s="199"/>
    </row>
    <row r="31" ht="14.25" customHeight="1">
      <c r="H31" s="199"/>
    </row>
    <row r="32" ht="14.25" customHeight="1">
      <c r="H32" s="199"/>
    </row>
    <row r="33" ht="14.25" customHeight="1">
      <c r="H33" s="199"/>
    </row>
    <row r="34" ht="14.25" customHeight="1">
      <c r="H34" s="199"/>
    </row>
    <row r="35" ht="14.25" customHeight="1">
      <c r="H35" s="199"/>
    </row>
    <row r="36" ht="14.25" customHeight="1">
      <c r="H36" s="199"/>
    </row>
    <row r="37" ht="14.25" customHeight="1">
      <c r="H37" s="199"/>
    </row>
    <row r="38" ht="14.25" customHeight="1">
      <c r="H38" s="199"/>
    </row>
    <row r="39" ht="14.25" customHeight="1">
      <c r="H39" s="199"/>
    </row>
    <row r="40" ht="14.25" customHeight="1">
      <c r="H40" s="199"/>
    </row>
    <row r="41" ht="14.25" customHeight="1">
      <c r="H41" s="199"/>
    </row>
    <row r="42" ht="14.25" customHeight="1">
      <c r="H42" s="199"/>
    </row>
    <row r="43" ht="14.25" customHeight="1">
      <c r="H43" s="199"/>
    </row>
    <row r="44" ht="14.25" customHeight="1">
      <c r="H44" s="199"/>
    </row>
    <row r="45" ht="14.25" customHeight="1">
      <c r="H45" s="199"/>
    </row>
    <row r="46" ht="14.25" customHeight="1">
      <c r="H46" s="199"/>
    </row>
    <row r="47" ht="14.25" customHeight="1">
      <c r="H47" s="199"/>
    </row>
    <row r="48" ht="14.25" customHeight="1">
      <c r="H48" s="199"/>
    </row>
    <row r="49" ht="14.25" customHeight="1">
      <c r="H49" s="199"/>
    </row>
    <row r="50" ht="14.25" customHeight="1">
      <c r="H50" s="199"/>
    </row>
    <row r="51" ht="14.25" customHeight="1">
      <c r="H51" s="199"/>
    </row>
    <row r="52" ht="14.25" customHeight="1">
      <c r="H52" s="199"/>
    </row>
    <row r="53" ht="14.25" customHeight="1">
      <c r="H53" s="199"/>
    </row>
    <row r="54" ht="14.25" customHeight="1">
      <c r="H54" s="199"/>
    </row>
    <row r="55" ht="14.25" customHeight="1">
      <c r="H55" s="199"/>
    </row>
    <row r="56" ht="14.25" customHeight="1">
      <c r="H56" s="199"/>
    </row>
    <row r="57" ht="14.25" customHeight="1">
      <c r="H57" s="199"/>
    </row>
    <row r="58" ht="14.25" customHeight="1">
      <c r="H58" s="199"/>
    </row>
    <row r="59" ht="14.25" customHeight="1">
      <c r="H59" s="199"/>
    </row>
    <row r="60" ht="14.25" customHeight="1">
      <c r="H60" s="199"/>
    </row>
    <row r="61" ht="14.25" customHeight="1">
      <c r="H61" s="199"/>
    </row>
    <row r="62" ht="14.25" customHeight="1">
      <c r="H62" s="199"/>
    </row>
    <row r="63" ht="14.25" customHeight="1">
      <c r="H63" s="199"/>
    </row>
    <row r="64" ht="14.25" customHeight="1">
      <c r="H64" s="199"/>
    </row>
    <row r="65" ht="14.25" customHeight="1">
      <c r="H65" s="199"/>
    </row>
    <row r="66" ht="14.25" customHeight="1">
      <c r="H66" s="199"/>
    </row>
    <row r="67" ht="14.25" customHeight="1">
      <c r="H67" s="199"/>
    </row>
    <row r="68" ht="14.25" customHeight="1">
      <c r="H68" s="199"/>
    </row>
    <row r="69" ht="14.25" customHeight="1">
      <c r="H69" s="199"/>
    </row>
    <row r="70" ht="14.25" customHeight="1">
      <c r="H70" s="199"/>
    </row>
    <row r="71" ht="14.25" customHeight="1">
      <c r="H71" s="199"/>
    </row>
    <row r="72" ht="14.25" customHeight="1">
      <c r="H72" s="199"/>
    </row>
    <row r="73" ht="14.25" customHeight="1">
      <c r="H73" s="199"/>
    </row>
    <row r="74" ht="14.25" customHeight="1">
      <c r="H74" s="199"/>
    </row>
    <row r="75" ht="14.25" customHeight="1">
      <c r="H75" s="199"/>
    </row>
    <row r="76" ht="14.25" customHeight="1">
      <c r="H76" s="199"/>
    </row>
    <row r="77" ht="14.25" customHeight="1">
      <c r="H77" s="199"/>
    </row>
    <row r="78" ht="14.25" customHeight="1">
      <c r="H78" s="199"/>
    </row>
    <row r="79" ht="14.25" customHeight="1">
      <c r="H79" s="199"/>
    </row>
    <row r="80" ht="14.25" customHeight="1">
      <c r="H80" s="199"/>
    </row>
    <row r="81" ht="14.25" customHeight="1">
      <c r="H81" s="199"/>
    </row>
    <row r="82" ht="14.25" customHeight="1">
      <c r="H82" s="199"/>
    </row>
    <row r="83" ht="14.25" customHeight="1">
      <c r="H83" s="199"/>
    </row>
    <row r="84" ht="14.25" customHeight="1">
      <c r="H84" s="199"/>
    </row>
    <row r="85" ht="14.25" customHeight="1">
      <c r="H85" s="199"/>
    </row>
    <row r="86" ht="14.25" customHeight="1">
      <c r="H86" s="199"/>
    </row>
    <row r="87" ht="14.25" customHeight="1">
      <c r="H87" s="199"/>
    </row>
    <row r="88" ht="14.25" customHeight="1">
      <c r="H88" s="199"/>
    </row>
    <row r="89" ht="14.25" customHeight="1">
      <c r="H89" s="199"/>
    </row>
    <row r="90" ht="14.25" customHeight="1">
      <c r="H90" s="199"/>
    </row>
    <row r="91" ht="14.25" customHeight="1">
      <c r="H91" s="199"/>
    </row>
    <row r="92" ht="14.25" customHeight="1">
      <c r="H92" s="199"/>
    </row>
    <row r="93" ht="14.25" customHeight="1">
      <c r="H93" s="199"/>
    </row>
    <row r="94" ht="14.25" customHeight="1">
      <c r="H94" s="199"/>
    </row>
    <row r="95" ht="14.25" customHeight="1">
      <c r="H95" s="199"/>
    </row>
    <row r="96" ht="14.25" customHeight="1">
      <c r="H96" s="199"/>
    </row>
    <row r="97" ht="14.25" customHeight="1">
      <c r="H97" s="199"/>
    </row>
    <row r="98" ht="14.25" customHeight="1">
      <c r="H98" s="199"/>
    </row>
    <row r="99" ht="14.25" customHeight="1">
      <c r="H99" s="199"/>
    </row>
    <row r="100" ht="14.25" customHeight="1">
      <c r="H100" s="199"/>
    </row>
    <row r="101" ht="14.25" customHeight="1">
      <c r="H101" s="199"/>
    </row>
    <row r="102" ht="14.25" customHeight="1">
      <c r="H102" s="199"/>
    </row>
    <row r="103" ht="14.25" customHeight="1">
      <c r="H103" s="199"/>
    </row>
    <row r="104" ht="14.25" customHeight="1">
      <c r="H104" s="199"/>
    </row>
    <row r="105" ht="14.25" customHeight="1">
      <c r="H105" s="199"/>
    </row>
    <row r="106" ht="14.25" customHeight="1">
      <c r="H106" s="199"/>
    </row>
    <row r="107" ht="14.25" customHeight="1">
      <c r="H107" s="199"/>
    </row>
    <row r="108" ht="14.25" customHeight="1">
      <c r="H108" s="199"/>
    </row>
    <row r="109" ht="14.25" customHeight="1">
      <c r="H109" s="199"/>
    </row>
    <row r="110" ht="14.25" customHeight="1">
      <c r="H110" s="199"/>
    </row>
    <row r="111" ht="14.25" customHeight="1">
      <c r="H111" s="199"/>
    </row>
    <row r="112" ht="14.25" customHeight="1">
      <c r="H112" s="199"/>
    </row>
    <row r="113" ht="14.25" customHeight="1">
      <c r="H113" s="199"/>
    </row>
    <row r="114" ht="14.25" customHeight="1">
      <c r="H114" s="199"/>
    </row>
    <row r="115" ht="14.25" customHeight="1">
      <c r="H115" s="199"/>
    </row>
    <row r="116" ht="14.25" customHeight="1">
      <c r="H116" s="199"/>
    </row>
    <row r="117" ht="14.25" customHeight="1">
      <c r="H117" s="199"/>
    </row>
    <row r="118" ht="14.25" customHeight="1">
      <c r="H118" s="199"/>
    </row>
    <row r="119" ht="14.25" customHeight="1">
      <c r="H119" s="199"/>
    </row>
    <row r="120" ht="14.25" customHeight="1">
      <c r="H120" s="199"/>
    </row>
    <row r="121" ht="14.25" customHeight="1">
      <c r="H121" s="199"/>
    </row>
    <row r="122" ht="14.25" customHeight="1">
      <c r="H122" s="199"/>
    </row>
    <row r="123" ht="14.25" customHeight="1">
      <c r="H123" s="199"/>
    </row>
    <row r="124" ht="14.25" customHeight="1">
      <c r="H124" s="199"/>
    </row>
    <row r="125" ht="14.25" customHeight="1">
      <c r="H125" s="199"/>
    </row>
    <row r="126" ht="14.25" customHeight="1">
      <c r="H126" s="199"/>
    </row>
    <row r="127" ht="14.25" customHeight="1">
      <c r="H127" s="199"/>
    </row>
    <row r="128" ht="14.25" customHeight="1">
      <c r="H128" s="199"/>
    </row>
    <row r="129" ht="14.25" customHeight="1">
      <c r="H129" s="199"/>
    </row>
    <row r="130" ht="14.25" customHeight="1">
      <c r="H130" s="199"/>
    </row>
    <row r="131" ht="14.25" customHeight="1">
      <c r="H131" s="199"/>
    </row>
    <row r="132" ht="14.25" customHeight="1">
      <c r="H132" s="199"/>
    </row>
    <row r="133" ht="14.25" customHeight="1">
      <c r="H133" s="199"/>
    </row>
    <row r="134" ht="14.25" customHeight="1">
      <c r="H134" s="199"/>
    </row>
    <row r="135" ht="14.25" customHeight="1">
      <c r="H135" s="199"/>
    </row>
    <row r="136" ht="14.25" customHeight="1">
      <c r="H136" s="199"/>
    </row>
    <row r="137" ht="14.25" customHeight="1">
      <c r="H137" s="199"/>
    </row>
    <row r="138" ht="14.25" customHeight="1">
      <c r="H138" s="199"/>
    </row>
    <row r="139" ht="14.25" customHeight="1">
      <c r="H139" s="199"/>
    </row>
    <row r="140" ht="14.25" customHeight="1">
      <c r="H140" s="199"/>
    </row>
    <row r="141" ht="14.25" customHeight="1">
      <c r="H141" s="199"/>
    </row>
    <row r="142" ht="14.25" customHeight="1">
      <c r="H142" s="199"/>
    </row>
    <row r="143" ht="14.25" customHeight="1">
      <c r="H143" s="199"/>
    </row>
    <row r="144" ht="14.25" customHeight="1">
      <c r="H144" s="199"/>
    </row>
    <row r="145" ht="14.25" customHeight="1">
      <c r="H145" s="199"/>
    </row>
    <row r="146" ht="14.25" customHeight="1">
      <c r="H146" s="199"/>
    </row>
    <row r="147" ht="14.25" customHeight="1">
      <c r="H147" s="199"/>
    </row>
    <row r="148" ht="14.25" customHeight="1">
      <c r="H148" s="199"/>
    </row>
    <row r="149" ht="14.25" customHeight="1">
      <c r="H149" s="199"/>
    </row>
    <row r="150" ht="14.25" customHeight="1">
      <c r="H150" s="199"/>
    </row>
    <row r="151" ht="14.25" customHeight="1">
      <c r="H151" s="199"/>
    </row>
    <row r="152" ht="14.25" customHeight="1">
      <c r="H152" s="199"/>
    </row>
    <row r="153" ht="14.25" customHeight="1">
      <c r="H153" s="199"/>
    </row>
    <row r="154" ht="14.25" customHeight="1">
      <c r="H154" s="199"/>
    </row>
    <row r="155" ht="14.25" customHeight="1">
      <c r="H155" s="199"/>
    </row>
    <row r="156" ht="14.25" customHeight="1">
      <c r="H156" s="199"/>
    </row>
    <row r="157" ht="14.25" customHeight="1">
      <c r="H157" s="199"/>
    </row>
    <row r="158" ht="14.25" customHeight="1">
      <c r="H158" s="199"/>
    </row>
    <row r="159" ht="14.25" customHeight="1">
      <c r="H159" s="199"/>
    </row>
    <row r="160" ht="14.25" customHeight="1">
      <c r="H160" s="199"/>
    </row>
    <row r="161" ht="14.25" customHeight="1">
      <c r="H161" s="199"/>
    </row>
    <row r="162" ht="14.25" customHeight="1">
      <c r="H162" s="199"/>
    </row>
    <row r="163" ht="14.25" customHeight="1">
      <c r="H163" s="199"/>
    </row>
    <row r="164" ht="14.25" customHeight="1">
      <c r="H164" s="199"/>
    </row>
    <row r="165" ht="14.25" customHeight="1">
      <c r="H165" s="199"/>
    </row>
    <row r="166" ht="14.25" customHeight="1">
      <c r="H166" s="199"/>
    </row>
    <row r="167" ht="14.25" customHeight="1">
      <c r="H167" s="199"/>
    </row>
    <row r="168" ht="14.25" customHeight="1">
      <c r="H168" s="199"/>
    </row>
    <row r="169" ht="14.25" customHeight="1">
      <c r="H169" s="199"/>
    </row>
    <row r="170" ht="14.25" customHeight="1">
      <c r="H170" s="199"/>
    </row>
    <row r="171" ht="14.25" customHeight="1">
      <c r="H171" s="199"/>
    </row>
    <row r="172" ht="14.25" customHeight="1">
      <c r="H172" s="199"/>
    </row>
    <row r="173" ht="14.25" customHeight="1">
      <c r="H173" s="199"/>
    </row>
    <row r="174" ht="14.25" customHeight="1">
      <c r="H174" s="199"/>
    </row>
    <row r="175" ht="14.25" customHeight="1">
      <c r="H175" s="199"/>
    </row>
    <row r="176" ht="14.25" customHeight="1">
      <c r="H176" s="199"/>
    </row>
    <row r="177" ht="14.25" customHeight="1">
      <c r="H177" s="199"/>
    </row>
    <row r="178" ht="14.25" customHeight="1">
      <c r="H178" s="199"/>
    </row>
    <row r="179" ht="14.25" customHeight="1">
      <c r="H179" s="199"/>
    </row>
    <row r="180" ht="14.25" customHeight="1">
      <c r="H180" s="199"/>
    </row>
    <row r="181" ht="14.25" customHeight="1">
      <c r="H181" s="199"/>
    </row>
    <row r="182" ht="14.25" customHeight="1">
      <c r="H182" s="199"/>
    </row>
    <row r="183" ht="14.25" customHeight="1">
      <c r="H183" s="199"/>
    </row>
    <row r="184" ht="14.25" customHeight="1">
      <c r="H184" s="199"/>
    </row>
    <row r="185" ht="14.25" customHeight="1">
      <c r="H185" s="199"/>
    </row>
    <row r="186" ht="14.25" customHeight="1">
      <c r="H186" s="199"/>
    </row>
    <row r="187" ht="14.25" customHeight="1">
      <c r="H187" s="199"/>
    </row>
    <row r="188" ht="14.25" customHeight="1">
      <c r="H188" s="199"/>
    </row>
    <row r="189" ht="14.25" customHeight="1">
      <c r="H189" s="199"/>
    </row>
    <row r="190" ht="14.25" customHeight="1">
      <c r="H190" s="199"/>
    </row>
    <row r="191" ht="14.25" customHeight="1">
      <c r="H191" s="199"/>
    </row>
    <row r="192" ht="14.25" customHeight="1">
      <c r="H192" s="199"/>
    </row>
    <row r="193" ht="14.25" customHeight="1">
      <c r="H193" s="199"/>
    </row>
    <row r="194" ht="14.25" customHeight="1">
      <c r="H194" s="199"/>
    </row>
    <row r="195" ht="14.25" customHeight="1">
      <c r="H195" s="199"/>
    </row>
    <row r="196" ht="14.25" customHeight="1">
      <c r="H196" s="199"/>
    </row>
    <row r="197" ht="14.25" customHeight="1">
      <c r="H197" s="199"/>
    </row>
    <row r="198" ht="14.25" customHeight="1">
      <c r="H198" s="199"/>
    </row>
    <row r="199" ht="14.25" customHeight="1">
      <c r="H199" s="199"/>
    </row>
    <row r="200" ht="14.25" customHeight="1">
      <c r="H200" s="199"/>
    </row>
    <row r="201" ht="14.25" customHeight="1">
      <c r="H201" s="199"/>
    </row>
    <row r="202" ht="14.25" customHeight="1">
      <c r="H202" s="199"/>
    </row>
    <row r="203" ht="14.25" customHeight="1">
      <c r="H203" s="199"/>
    </row>
    <row r="204" ht="14.25" customHeight="1">
      <c r="H204" s="199"/>
    </row>
    <row r="205" ht="14.25" customHeight="1">
      <c r="H205" s="199"/>
    </row>
    <row r="206" ht="14.25" customHeight="1">
      <c r="H206" s="199"/>
    </row>
    <row r="207" ht="14.25" customHeight="1">
      <c r="H207" s="199"/>
    </row>
    <row r="208" ht="14.25" customHeight="1">
      <c r="H208" s="199"/>
    </row>
    <row r="209" ht="14.25" customHeight="1">
      <c r="H209" s="199"/>
    </row>
    <row r="210" ht="14.25" customHeight="1">
      <c r="H210" s="199"/>
    </row>
    <row r="211" ht="14.25" customHeight="1">
      <c r="H211" s="199"/>
    </row>
    <row r="212" ht="14.25" customHeight="1">
      <c r="H212" s="199"/>
    </row>
    <row r="213" ht="14.25" customHeight="1">
      <c r="H213" s="199"/>
    </row>
    <row r="214" ht="14.25" customHeight="1">
      <c r="H214" s="199"/>
    </row>
    <row r="215" ht="14.25" customHeight="1">
      <c r="H215" s="199"/>
    </row>
    <row r="216" ht="14.25" customHeight="1">
      <c r="H216" s="199"/>
    </row>
    <row r="217" ht="14.25" customHeight="1">
      <c r="H217" s="199"/>
    </row>
    <row r="218" ht="14.25" customHeight="1">
      <c r="H218" s="199"/>
    </row>
    <row r="219" ht="14.25" customHeight="1">
      <c r="H219" s="199"/>
    </row>
    <row r="220" ht="14.25" customHeight="1">
      <c r="H220" s="199"/>
    </row>
    <row r="221" ht="14.25" customHeight="1">
      <c r="H221" s="199"/>
    </row>
    <row r="222" ht="14.25" customHeight="1">
      <c r="H222" s="199"/>
    </row>
    <row r="223" ht="14.25" customHeight="1">
      <c r="H223" s="199"/>
    </row>
    <row r="224" ht="14.25" customHeight="1">
      <c r="H224" s="199"/>
    </row>
    <row r="225" ht="14.25" customHeight="1">
      <c r="H225" s="199"/>
    </row>
    <row r="226" ht="14.25" customHeight="1">
      <c r="H226" s="199"/>
    </row>
    <row r="227" ht="14.25" customHeight="1">
      <c r="H227" s="199"/>
    </row>
    <row r="228" ht="14.25" customHeight="1">
      <c r="H228" s="199"/>
    </row>
    <row r="229" ht="14.25" customHeight="1">
      <c r="H229" s="199"/>
    </row>
    <row r="230" ht="14.25" customHeight="1">
      <c r="H230" s="199"/>
    </row>
    <row r="231" ht="14.25" customHeight="1">
      <c r="H231" s="199"/>
    </row>
    <row r="232" ht="14.25" customHeight="1">
      <c r="H232" s="199"/>
    </row>
    <row r="233" ht="14.25" customHeight="1">
      <c r="H233" s="199"/>
    </row>
    <row r="234" ht="14.25" customHeight="1">
      <c r="H234" s="199"/>
    </row>
    <row r="235" ht="14.25" customHeight="1">
      <c r="H235" s="199"/>
    </row>
    <row r="236" ht="14.25" customHeight="1">
      <c r="H236" s="199"/>
    </row>
    <row r="237" ht="14.25" customHeight="1">
      <c r="H237" s="199"/>
    </row>
    <row r="238" ht="14.25" customHeight="1">
      <c r="H238" s="199"/>
    </row>
    <row r="239" ht="14.25" customHeight="1">
      <c r="H239" s="199"/>
    </row>
    <row r="240" ht="14.25" customHeight="1">
      <c r="H240" s="199"/>
    </row>
    <row r="241" ht="14.25" customHeight="1">
      <c r="H241" s="199"/>
    </row>
    <row r="242" ht="14.25" customHeight="1">
      <c r="H242" s="199"/>
    </row>
    <row r="243" ht="14.25" customHeight="1">
      <c r="H243" s="199"/>
    </row>
    <row r="244" ht="14.25" customHeight="1">
      <c r="H244" s="199"/>
    </row>
    <row r="245" ht="14.25" customHeight="1">
      <c r="H245" s="199"/>
    </row>
    <row r="246" ht="14.25" customHeight="1">
      <c r="H246" s="199"/>
    </row>
    <row r="247" ht="14.25" customHeight="1">
      <c r="H247" s="199"/>
    </row>
    <row r="248" ht="14.25" customHeight="1">
      <c r="H248" s="199"/>
    </row>
    <row r="249" ht="14.25" customHeight="1">
      <c r="H249" s="199"/>
    </row>
    <row r="250" ht="14.25" customHeight="1">
      <c r="H250" s="199"/>
    </row>
    <row r="251" ht="14.25" customHeight="1">
      <c r="H251" s="199"/>
    </row>
    <row r="252" ht="14.25" customHeight="1">
      <c r="H252" s="199"/>
    </row>
    <row r="253" ht="14.25" customHeight="1">
      <c r="H253" s="199"/>
    </row>
    <row r="254" ht="14.25" customHeight="1">
      <c r="H254" s="199"/>
    </row>
    <row r="255" ht="14.25" customHeight="1">
      <c r="H255" s="199"/>
    </row>
    <row r="256" ht="14.25" customHeight="1">
      <c r="H256" s="199"/>
    </row>
    <row r="257" ht="14.25" customHeight="1">
      <c r="H257" s="199"/>
    </row>
    <row r="258" ht="14.25" customHeight="1">
      <c r="H258" s="199"/>
    </row>
    <row r="259" ht="14.25" customHeight="1">
      <c r="H259" s="199"/>
    </row>
    <row r="260" ht="14.25" customHeight="1">
      <c r="H260" s="199"/>
    </row>
    <row r="261" ht="14.25" customHeight="1">
      <c r="H261" s="199"/>
    </row>
    <row r="262" ht="14.25" customHeight="1">
      <c r="H262" s="199"/>
    </row>
    <row r="263" ht="14.25" customHeight="1">
      <c r="H263" s="199"/>
    </row>
    <row r="264" ht="14.25" customHeight="1">
      <c r="H264" s="199"/>
    </row>
    <row r="265" ht="14.25" customHeight="1">
      <c r="H265" s="199"/>
    </row>
    <row r="266" ht="14.25" customHeight="1">
      <c r="H266" s="199"/>
    </row>
    <row r="267" ht="14.25" customHeight="1">
      <c r="H267" s="199"/>
    </row>
    <row r="268" ht="14.25" customHeight="1">
      <c r="H268" s="199"/>
    </row>
    <row r="269" ht="14.25" customHeight="1">
      <c r="H269" s="199"/>
    </row>
    <row r="270" ht="14.25" customHeight="1">
      <c r="H270" s="199"/>
    </row>
    <row r="271" ht="14.25" customHeight="1">
      <c r="H271" s="199"/>
    </row>
    <row r="272" ht="14.25" customHeight="1">
      <c r="H272" s="199"/>
    </row>
    <row r="273" ht="14.25" customHeight="1">
      <c r="H273" s="199"/>
    </row>
    <row r="274" ht="14.25" customHeight="1">
      <c r="H274" s="199"/>
    </row>
    <row r="275" ht="14.25" customHeight="1">
      <c r="H275" s="199"/>
    </row>
    <row r="276" ht="14.25" customHeight="1">
      <c r="H276" s="199"/>
    </row>
    <row r="277" ht="14.25" customHeight="1">
      <c r="H277" s="199"/>
    </row>
    <row r="278" ht="14.25" customHeight="1">
      <c r="H278" s="199"/>
    </row>
    <row r="279" ht="14.25" customHeight="1">
      <c r="H279" s="199"/>
    </row>
    <row r="280" ht="14.25" customHeight="1">
      <c r="H280" s="199"/>
    </row>
    <row r="281" ht="14.25" customHeight="1">
      <c r="H281" s="199"/>
    </row>
    <row r="282" ht="14.25" customHeight="1">
      <c r="H282" s="199"/>
    </row>
    <row r="283" ht="14.25" customHeight="1">
      <c r="H283" s="199"/>
    </row>
    <row r="284" ht="14.25" customHeight="1">
      <c r="H284" s="199"/>
    </row>
    <row r="285" ht="14.25" customHeight="1">
      <c r="H285" s="199"/>
    </row>
    <row r="286" ht="14.25" customHeight="1">
      <c r="H286" s="199"/>
    </row>
    <row r="287" ht="14.25" customHeight="1">
      <c r="H287" s="199"/>
    </row>
    <row r="288" ht="14.25" customHeight="1">
      <c r="H288" s="199"/>
    </row>
    <row r="289" ht="14.25" customHeight="1">
      <c r="H289" s="199"/>
    </row>
    <row r="290" ht="14.25" customHeight="1">
      <c r="H290" s="199"/>
    </row>
    <row r="291" ht="14.25" customHeight="1">
      <c r="H291" s="199"/>
    </row>
    <row r="292" ht="14.25" customHeight="1">
      <c r="H292" s="199"/>
    </row>
    <row r="293" ht="14.25" customHeight="1">
      <c r="H293" s="199"/>
    </row>
    <row r="294" ht="14.25" customHeight="1">
      <c r="H294" s="199"/>
    </row>
    <row r="295" ht="14.25" customHeight="1">
      <c r="H295" s="199"/>
    </row>
    <row r="296" ht="14.25" customHeight="1">
      <c r="H296" s="199"/>
    </row>
    <row r="297" ht="14.25" customHeight="1">
      <c r="H297" s="199"/>
    </row>
    <row r="298" ht="14.25" customHeight="1">
      <c r="H298" s="199"/>
    </row>
    <row r="299" ht="14.25" customHeight="1">
      <c r="H299" s="199"/>
    </row>
    <row r="300" ht="14.25" customHeight="1">
      <c r="H300" s="199"/>
    </row>
    <row r="301" ht="14.25" customHeight="1">
      <c r="H301" s="199"/>
    </row>
    <row r="302" ht="14.25" customHeight="1">
      <c r="H302" s="199"/>
    </row>
    <row r="303" ht="14.25" customHeight="1">
      <c r="H303" s="199"/>
    </row>
    <row r="304" ht="14.25" customHeight="1">
      <c r="H304" s="199"/>
    </row>
    <row r="305" ht="14.25" customHeight="1">
      <c r="H305" s="199"/>
    </row>
    <row r="306" ht="14.25" customHeight="1">
      <c r="H306" s="199"/>
    </row>
    <row r="307" ht="14.25" customHeight="1">
      <c r="H307" s="199"/>
    </row>
    <row r="308" ht="14.25" customHeight="1">
      <c r="H308" s="199"/>
    </row>
    <row r="309" ht="14.25" customHeight="1">
      <c r="H309" s="199"/>
    </row>
    <row r="310" ht="14.25" customHeight="1">
      <c r="H310" s="199"/>
    </row>
    <row r="311" ht="14.25" customHeight="1">
      <c r="H311" s="199"/>
    </row>
    <row r="312" ht="14.25" customHeight="1">
      <c r="H312" s="199"/>
    </row>
    <row r="313" ht="14.25" customHeight="1">
      <c r="H313" s="199"/>
    </row>
    <row r="314" ht="14.25" customHeight="1">
      <c r="H314" s="199"/>
    </row>
    <row r="315" ht="14.25" customHeight="1">
      <c r="H315" s="199"/>
    </row>
    <row r="316" ht="14.25" customHeight="1">
      <c r="H316" s="199"/>
    </row>
    <row r="317" ht="14.25" customHeight="1">
      <c r="H317" s="199"/>
    </row>
    <row r="318" ht="14.25" customHeight="1">
      <c r="H318" s="199"/>
    </row>
    <row r="319" ht="14.25" customHeight="1">
      <c r="H319" s="199"/>
    </row>
    <row r="320" ht="14.25" customHeight="1">
      <c r="H320" s="199"/>
    </row>
    <row r="321" ht="14.25" customHeight="1">
      <c r="H321" s="199"/>
    </row>
    <row r="322" ht="14.25" customHeight="1">
      <c r="H322" s="199"/>
    </row>
    <row r="323" ht="14.25" customHeight="1">
      <c r="H323" s="199"/>
    </row>
    <row r="324" ht="14.25" customHeight="1">
      <c r="H324" s="199"/>
    </row>
    <row r="325" ht="14.25" customHeight="1">
      <c r="H325" s="199"/>
    </row>
    <row r="326" ht="14.25" customHeight="1">
      <c r="H326" s="199"/>
    </row>
    <row r="327" ht="14.25" customHeight="1">
      <c r="H327" s="199"/>
    </row>
    <row r="328" ht="14.25" customHeight="1">
      <c r="H328" s="199"/>
    </row>
    <row r="329" ht="14.25" customHeight="1">
      <c r="H329" s="199"/>
    </row>
    <row r="330" ht="14.25" customHeight="1">
      <c r="H330" s="199"/>
    </row>
    <row r="331" ht="14.25" customHeight="1">
      <c r="H331" s="199"/>
    </row>
    <row r="332" ht="14.25" customHeight="1">
      <c r="H332" s="199"/>
    </row>
    <row r="333" ht="14.25" customHeight="1">
      <c r="H333" s="199"/>
    </row>
    <row r="334" ht="14.25" customHeight="1">
      <c r="H334" s="199"/>
    </row>
    <row r="335" ht="14.25" customHeight="1">
      <c r="H335" s="199"/>
    </row>
    <row r="336" ht="14.25" customHeight="1">
      <c r="H336" s="199"/>
    </row>
    <row r="337" ht="14.25" customHeight="1">
      <c r="H337" s="199"/>
    </row>
    <row r="338" ht="14.25" customHeight="1">
      <c r="H338" s="199"/>
    </row>
    <row r="339" ht="14.25" customHeight="1">
      <c r="H339" s="199"/>
    </row>
    <row r="340" ht="14.25" customHeight="1">
      <c r="H340" s="199"/>
    </row>
    <row r="341" ht="14.25" customHeight="1">
      <c r="H341" s="199"/>
    </row>
    <row r="342" ht="14.25" customHeight="1">
      <c r="H342" s="199"/>
    </row>
    <row r="343" ht="14.25" customHeight="1">
      <c r="H343" s="199"/>
    </row>
    <row r="344" ht="14.25" customHeight="1">
      <c r="H344" s="199"/>
    </row>
    <row r="345" ht="14.25" customHeight="1">
      <c r="H345" s="199"/>
    </row>
    <row r="346" ht="14.25" customHeight="1">
      <c r="H346" s="199"/>
    </row>
    <row r="347" ht="14.25" customHeight="1">
      <c r="H347" s="199"/>
    </row>
    <row r="348" ht="14.25" customHeight="1">
      <c r="H348" s="199"/>
    </row>
    <row r="349" ht="14.25" customHeight="1">
      <c r="H349" s="199"/>
    </row>
    <row r="350" ht="14.25" customHeight="1">
      <c r="H350" s="199"/>
    </row>
    <row r="351" ht="14.25" customHeight="1">
      <c r="H351" s="199"/>
    </row>
    <row r="352" ht="14.25" customHeight="1">
      <c r="H352" s="199"/>
    </row>
    <row r="353" ht="14.25" customHeight="1">
      <c r="H353" s="199"/>
    </row>
    <row r="354" ht="14.25" customHeight="1">
      <c r="H354" s="199"/>
    </row>
    <row r="355" ht="14.25" customHeight="1">
      <c r="H355" s="199"/>
    </row>
    <row r="356" ht="14.25" customHeight="1">
      <c r="H356" s="199"/>
    </row>
    <row r="357" ht="14.25" customHeight="1">
      <c r="H357" s="199"/>
    </row>
    <row r="358" ht="14.25" customHeight="1">
      <c r="H358" s="199"/>
    </row>
    <row r="359" ht="14.25" customHeight="1">
      <c r="H359" s="199"/>
    </row>
    <row r="360" ht="14.25" customHeight="1">
      <c r="H360" s="199"/>
    </row>
    <row r="361" ht="14.25" customHeight="1">
      <c r="H361" s="199"/>
    </row>
    <row r="362" ht="14.25" customHeight="1">
      <c r="H362" s="199"/>
    </row>
    <row r="363" ht="14.25" customHeight="1">
      <c r="H363" s="199"/>
    </row>
    <row r="364" ht="14.25" customHeight="1">
      <c r="H364" s="199"/>
    </row>
    <row r="365" ht="14.25" customHeight="1">
      <c r="H365" s="199"/>
    </row>
    <row r="366" ht="14.25" customHeight="1">
      <c r="H366" s="199"/>
    </row>
    <row r="367" ht="14.25" customHeight="1">
      <c r="H367" s="199"/>
    </row>
    <row r="368" ht="14.25" customHeight="1">
      <c r="H368" s="199"/>
    </row>
    <row r="369" ht="14.25" customHeight="1">
      <c r="H369" s="199"/>
    </row>
    <row r="370" ht="14.25" customHeight="1">
      <c r="H370" s="199"/>
    </row>
    <row r="371" ht="14.25" customHeight="1">
      <c r="H371" s="199"/>
    </row>
    <row r="372" ht="14.25" customHeight="1">
      <c r="H372" s="199"/>
    </row>
    <row r="373" ht="14.25" customHeight="1">
      <c r="H373" s="199"/>
    </row>
    <row r="374" ht="14.25" customHeight="1">
      <c r="H374" s="199"/>
    </row>
    <row r="375" ht="14.25" customHeight="1">
      <c r="H375" s="199"/>
    </row>
    <row r="376" ht="14.25" customHeight="1">
      <c r="H376" s="199"/>
    </row>
    <row r="377" ht="14.25" customHeight="1">
      <c r="H377" s="199"/>
    </row>
    <row r="378" ht="14.25" customHeight="1">
      <c r="H378" s="199"/>
    </row>
    <row r="379" ht="14.25" customHeight="1">
      <c r="H379" s="199"/>
    </row>
    <row r="380" ht="14.25" customHeight="1">
      <c r="H380" s="199"/>
    </row>
    <row r="381" ht="14.25" customHeight="1">
      <c r="H381" s="199"/>
    </row>
    <row r="382" ht="14.25" customHeight="1">
      <c r="H382" s="199"/>
    </row>
    <row r="383" ht="14.25" customHeight="1">
      <c r="H383" s="199"/>
    </row>
    <row r="384" ht="14.25" customHeight="1">
      <c r="H384" s="199"/>
    </row>
    <row r="385" ht="14.25" customHeight="1">
      <c r="H385" s="199"/>
    </row>
    <row r="386" ht="14.25" customHeight="1">
      <c r="H386" s="199"/>
    </row>
    <row r="387" ht="14.25" customHeight="1">
      <c r="H387" s="199"/>
    </row>
    <row r="388" ht="14.25" customHeight="1">
      <c r="H388" s="199"/>
    </row>
    <row r="389" ht="14.25" customHeight="1">
      <c r="H389" s="199"/>
    </row>
    <row r="390" ht="14.25" customHeight="1">
      <c r="H390" s="199"/>
    </row>
    <row r="391" ht="14.25" customHeight="1">
      <c r="H391" s="199"/>
    </row>
    <row r="392" ht="14.25" customHeight="1">
      <c r="H392" s="199"/>
    </row>
    <row r="393" ht="14.25" customHeight="1">
      <c r="H393" s="199"/>
    </row>
    <row r="394" ht="14.25" customHeight="1">
      <c r="H394" s="199"/>
    </row>
    <row r="395" ht="14.25" customHeight="1">
      <c r="H395" s="199"/>
    </row>
    <row r="396" ht="14.25" customHeight="1">
      <c r="H396" s="199"/>
    </row>
    <row r="397" ht="14.25" customHeight="1">
      <c r="H397" s="199"/>
    </row>
    <row r="398" ht="14.25" customHeight="1">
      <c r="H398" s="199"/>
    </row>
    <row r="399" ht="14.25" customHeight="1">
      <c r="H399" s="199"/>
    </row>
    <row r="400" ht="14.25" customHeight="1">
      <c r="H400" s="199"/>
    </row>
    <row r="401" ht="14.25" customHeight="1">
      <c r="H401" s="199"/>
    </row>
    <row r="402" ht="14.25" customHeight="1">
      <c r="H402" s="199"/>
    </row>
    <row r="403" ht="14.25" customHeight="1">
      <c r="H403" s="199"/>
    </row>
    <row r="404" ht="14.25" customHeight="1">
      <c r="H404" s="199"/>
    </row>
    <row r="405" ht="14.25" customHeight="1">
      <c r="H405" s="199"/>
    </row>
    <row r="406" ht="14.25" customHeight="1">
      <c r="H406" s="199"/>
    </row>
    <row r="407" ht="14.25" customHeight="1">
      <c r="H407" s="199"/>
    </row>
    <row r="408" ht="14.25" customHeight="1">
      <c r="H408" s="199"/>
    </row>
    <row r="409" ht="14.25" customHeight="1">
      <c r="H409" s="199"/>
    </row>
    <row r="410" ht="14.25" customHeight="1">
      <c r="H410" s="199"/>
    </row>
    <row r="411" ht="14.25" customHeight="1">
      <c r="H411" s="199"/>
    </row>
    <row r="412" ht="14.25" customHeight="1">
      <c r="H412" s="199"/>
    </row>
    <row r="413" ht="14.25" customHeight="1">
      <c r="H413" s="199"/>
    </row>
    <row r="414" ht="14.25" customHeight="1">
      <c r="H414" s="199"/>
    </row>
    <row r="415" ht="14.25" customHeight="1">
      <c r="H415" s="199"/>
    </row>
    <row r="416" ht="14.25" customHeight="1">
      <c r="H416" s="199"/>
    </row>
    <row r="417" ht="14.25" customHeight="1">
      <c r="H417" s="199"/>
    </row>
    <row r="418" ht="14.25" customHeight="1">
      <c r="H418" s="199"/>
    </row>
    <row r="419" ht="14.25" customHeight="1">
      <c r="H419" s="199"/>
    </row>
    <row r="420" ht="14.25" customHeight="1">
      <c r="H420" s="199"/>
    </row>
    <row r="421" ht="14.25" customHeight="1">
      <c r="H421" s="199"/>
    </row>
    <row r="422" ht="14.25" customHeight="1">
      <c r="H422" s="199"/>
    </row>
    <row r="423" ht="14.25" customHeight="1">
      <c r="H423" s="199"/>
    </row>
    <row r="424" ht="14.25" customHeight="1">
      <c r="H424" s="199"/>
    </row>
    <row r="425" ht="14.25" customHeight="1">
      <c r="H425" s="199"/>
    </row>
    <row r="426" ht="14.25" customHeight="1">
      <c r="H426" s="199"/>
    </row>
    <row r="427" ht="14.25" customHeight="1">
      <c r="H427" s="199"/>
    </row>
    <row r="428" ht="14.25" customHeight="1">
      <c r="H428" s="199"/>
    </row>
    <row r="429" ht="14.25" customHeight="1">
      <c r="H429" s="199"/>
    </row>
    <row r="430" ht="14.25" customHeight="1">
      <c r="H430" s="199"/>
    </row>
    <row r="431" ht="14.25" customHeight="1">
      <c r="H431" s="199"/>
    </row>
    <row r="432" ht="14.25" customHeight="1">
      <c r="H432" s="199"/>
    </row>
    <row r="433" ht="14.25" customHeight="1">
      <c r="H433" s="199"/>
    </row>
    <row r="434" ht="14.25" customHeight="1">
      <c r="H434" s="199"/>
    </row>
    <row r="435" ht="14.25" customHeight="1">
      <c r="H435" s="199"/>
    </row>
    <row r="436" ht="14.25" customHeight="1">
      <c r="H436" s="199"/>
    </row>
    <row r="437" ht="14.25" customHeight="1">
      <c r="H437" s="199"/>
    </row>
    <row r="438" ht="14.25" customHeight="1">
      <c r="H438" s="199"/>
    </row>
    <row r="439" ht="14.25" customHeight="1">
      <c r="H439" s="199"/>
    </row>
    <row r="440" ht="14.25" customHeight="1">
      <c r="H440" s="199"/>
    </row>
    <row r="441" ht="14.25" customHeight="1">
      <c r="H441" s="199"/>
    </row>
    <row r="442" ht="14.25" customHeight="1">
      <c r="H442" s="199"/>
    </row>
    <row r="443" ht="14.25" customHeight="1">
      <c r="H443" s="199"/>
    </row>
    <row r="444" ht="14.25" customHeight="1">
      <c r="H444" s="199"/>
    </row>
    <row r="445" ht="14.25" customHeight="1">
      <c r="H445" s="199"/>
    </row>
    <row r="446" ht="14.25" customHeight="1">
      <c r="H446" s="199"/>
    </row>
    <row r="447" ht="14.25" customHeight="1">
      <c r="H447" s="199"/>
    </row>
    <row r="448" ht="14.25" customHeight="1">
      <c r="H448" s="199"/>
    </row>
    <row r="449" ht="14.25" customHeight="1">
      <c r="H449" s="199"/>
    </row>
    <row r="450" ht="14.25" customHeight="1">
      <c r="H450" s="199"/>
    </row>
    <row r="451" ht="14.25" customHeight="1">
      <c r="H451" s="199"/>
    </row>
    <row r="452" ht="14.25" customHeight="1">
      <c r="H452" s="199"/>
    </row>
    <row r="453" ht="14.25" customHeight="1">
      <c r="H453" s="199"/>
    </row>
    <row r="454" ht="14.25" customHeight="1">
      <c r="H454" s="199"/>
    </row>
    <row r="455" ht="14.25" customHeight="1">
      <c r="H455" s="199"/>
    </row>
    <row r="456" ht="14.25" customHeight="1">
      <c r="H456" s="199"/>
    </row>
    <row r="457" ht="14.25" customHeight="1">
      <c r="H457" s="199"/>
    </row>
    <row r="458" ht="14.25" customHeight="1">
      <c r="H458" s="199"/>
    </row>
    <row r="459" ht="14.25" customHeight="1">
      <c r="H459" s="199"/>
    </row>
    <row r="460" ht="14.25" customHeight="1">
      <c r="H460" s="199"/>
    </row>
    <row r="461" ht="14.25" customHeight="1">
      <c r="H461" s="199"/>
    </row>
    <row r="462" ht="14.25" customHeight="1">
      <c r="H462" s="199"/>
    </row>
    <row r="463" ht="14.25" customHeight="1">
      <c r="H463" s="199"/>
    </row>
    <row r="464" ht="14.25" customHeight="1">
      <c r="H464" s="199"/>
    </row>
    <row r="465" ht="14.25" customHeight="1">
      <c r="H465" s="199"/>
    </row>
    <row r="466" ht="14.25" customHeight="1">
      <c r="H466" s="199"/>
    </row>
    <row r="467" ht="14.25" customHeight="1">
      <c r="H467" s="199"/>
    </row>
    <row r="468" ht="14.25" customHeight="1">
      <c r="H468" s="199"/>
    </row>
    <row r="469" ht="14.25" customHeight="1">
      <c r="H469" s="199"/>
    </row>
    <row r="470" ht="14.25" customHeight="1">
      <c r="H470" s="199"/>
    </row>
    <row r="471" ht="14.25" customHeight="1">
      <c r="H471" s="199"/>
    </row>
    <row r="472" ht="14.25" customHeight="1">
      <c r="H472" s="199"/>
    </row>
    <row r="473" ht="14.25" customHeight="1">
      <c r="H473" s="199"/>
    </row>
    <row r="474" ht="14.25" customHeight="1">
      <c r="H474" s="199"/>
    </row>
    <row r="475" ht="14.25" customHeight="1">
      <c r="H475" s="199"/>
    </row>
    <row r="476" ht="14.25" customHeight="1">
      <c r="H476" s="199"/>
    </row>
    <row r="477" ht="14.25" customHeight="1">
      <c r="H477" s="199"/>
    </row>
    <row r="478" ht="14.25" customHeight="1">
      <c r="H478" s="199"/>
    </row>
    <row r="479" ht="14.25" customHeight="1">
      <c r="H479" s="199"/>
    </row>
    <row r="480" ht="14.25" customHeight="1">
      <c r="H480" s="199"/>
    </row>
    <row r="481" ht="14.25" customHeight="1">
      <c r="H481" s="199"/>
    </row>
    <row r="482" ht="14.25" customHeight="1">
      <c r="H482" s="199"/>
    </row>
    <row r="483" ht="14.25" customHeight="1">
      <c r="H483" s="199"/>
    </row>
    <row r="484" ht="14.25" customHeight="1">
      <c r="H484" s="199"/>
    </row>
    <row r="485" ht="14.25" customHeight="1">
      <c r="H485" s="199"/>
    </row>
    <row r="486" ht="14.25" customHeight="1">
      <c r="H486" s="199"/>
    </row>
    <row r="487" ht="14.25" customHeight="1">
      <c r="H487" s="199"/>
    </row>
    <row r="488" ht="14.25" customHeight="1">
      <c r="H488" s="199"/>
    </row>
    <row r="489" ht="14.25" customHeight="1">
      <c r="H489" s="199"/>
    </row>
    <row r="490" ht="14.25" customHeight="1">
      <c r="H490" s="199"/>
    </row>
    <row r="491" ht="14.25" customHeight="1">
      <c r="H491" s="199"/>
    </row>
    <row r="492" ht="14.25" customHeight="1">
      <c r="H492" s="199"/>
    </row>
    <row r="493" ht="14.25" customHeight="1">
      <c r="H493" s="199"/>
    </row>
    <row r="494" ht="14.25" customHeight="1">
      <c r="H494" s="199"/>
    </row>
    <row r="495" ht="14.25" customHeight="1">
      <c r="H495" s="199"/>
    </row>
    <row r="496" ht="14.25" customHeight="1">
      <c r="H496" s="199"/>
    </row>
    <row r="497" ht="14.25" customHeight="1">
      <c r="H497" s="199"/>
    </row>
    <row r="498" ht="14.25" customHeight="1">
      <c r="H498" s="199"/>
    </row>
    <row r="499" ht="14.25" customHeight="1">
      <c r="H499" s="199"/>
    </row>
    <row r="500" ht="14.25" customHeight="1">
      <c r="H500" s="199"/>
    </row>
    <row r="501" ht="14.25" customHeight="1">
      <c r="H501" s="199"/>
    </row>
    <row r="502" ht="14.25" customHeight="1">
      <c r="H502" s="199"/>
    </row>
    <row r="503" ht="14.25" customHeight="1">
      <c r="H503" s="199"/>
    </row>
    <row r="504" ht="14.25" customHeight="1">
      <c r="H504" s="199"/>
    </row>
    <row r="505" ht="14.25" customHeight="1">
      <c r="H505" s="199"/>
    </row>
    <row r="506" ht="14.25" customHeight="1">
      <c r="H506" s="199"/>
    </row>
    <row r="507" ht="14.25" customHeight="1">
      <c r="H507" s="199"/>
    </row>
    <row r="508" ht="14.25" customHeight="1">
      <c r="H508" s="199"/>
    </row>
    <row r="509" ht="14.25" customHeight="1">
      <c r="H509" s="199"/>
    </row>
    <row r="510" ht="14.25" customHeight="1">
      <c r="H510" s="199"/>
    </row>
    <row r="511" ht="14.25" customHeight="1">
      <c r="H511" s="199"/>
    </row>
    <row r="512" ht="14.25" customHeight="1">
      <c r="H512" s="199"/>
    </row>
    <row r="513" ht="14.25" customHeight="1">
      <c r="H513" s="199"/>
    </row>
    <row r="514" ht="14.25" customHeight="1">
      <c r="H514" s="199"/>
    </row>
    <row r="515" ht="14.25" customHeight="1">
      <c r="H515" s="199"/>
    </row>
    <row r="516" ht="14.25" customHeight="1">
      <c r="H516" s="199"/>
    </row>
    <row r="517" ht="14.25" customHeight="1">
      <c r="H517" s="199"/>
    </row>
    <row r="518" ht="14.25" customHeight="1">
      <c r="H518" s="199"/>
    </row>
    <row r="519" ht="14.25" customHeight="1">
      <c r="H519" s="199"/>
    </row>
    <row r="520" ht="14.25" customHeight="1">
      <c r="H520" s="199"/>
    </row>
    <row r="521" ht="14.25" customHeight="1">
      <c r="H521" s="199"/>
    </row>
    <row r="522" ht="14.25" customHeight="1">
      <c r="H522" s="199"/>
    </row>
    <row r="523" ht="14.25" customHeight="1">
      <c r="H523" s="199"/>
    </row>
    <row r="524" ht="14.25" customHeight="1">
      <c r="H524" s="199"/>
    </row>
    <row r="525" ht="14.25" customHeight="1">
      <c r="H525" s="199"/>
    </row>
    <row r="526" ht="14.25" customHeight="1">
      <c r="H526" s="199"/>
    </row>
    <row r="527" ht="14.25" customHeight="1">
      <c r="H527" s="199"/>
    </row>
    <row r="528" ht="14.25" customHeight="1">
      <c r="H528" s="199"/>
    </row>
    <row r="529" ht="14.25" customHeight="1">
      <c r="H529" s="199"/>
    </row>
    <row r="530" ht="14.25" customHeight="1">
      <c r="H530" s="199"/>
    </row>
    <row r="531" ht="14.25" customHeight="1">
      <c r="H531" s="199"/>
    </row>
    <row r="532" ht="14.25" customHeight="1">
      <c r="H532" s="199"/>
    </row>
    <row r="533" ht="14.25" customHeight="1">
      <c r="H533" s="199"/>
    </row>
    <row r="534" ht="14.25" customHeight="1">
      <c r="H534" s="199"/>
    </row>
    <row r="535" ht="14.25" customHeight="1">
      <c r="H535" s="199"/>
    </row>
    <row r="536" ht="14.25" customHeight="1">
      <c r="H536" s="199"/>
    </row>
    <row r="537" ht="14.25" customHeight="1">
      <c r="H537" s="199"/>
    </row>
    <row r="538" ht="14.25" customHeight="1">
      <c r="H538" s="199"/>
    </row>
    <row r="539" ht="14.25" customHeight="1">
      <c r="H539" s="199"/>
    </row>
    <row r="540" ht="14.25" customHeight="1">
      <c r="H540" s="199"/>
    </row>
    <row r="541" ht="14.25" customHeight="1">
      <c r="H541" s="199"/>
    </row>
    <row r="542" ht="14.25" customHeight="1">
      <c r="H542" s="199"/>
    </row>
    <row r="543" ht="14.25" customHeight="1">
      <c r="H543" s="199"/>
    </row>
    <row r="544" ht="14.25" customHeight="1">
      <c r="H544" s="199"/>
    </row>
    <row r="545" ht="14.25" customHeight="1">
      <c r="H545" s="199"/>
    </row>
    <row r="546" ht="14.25" customHeight="1">
      <c r="H546" s="199"/>
    </row>
    <row r="547" ht="14.25" customHeight="1">
      <c r="H547" s="199"/>
    </row>
    <row r="548" ht="14.25" customHeight="1">
      <c r="H548" s="199"/>
    </row>
    <row r="549" ht="14.25" customHeight="1">
      <c r="H549" s="199"/>
    </row>
    <row r="550" ht="14.25" customHeight="1">
      <c r="H550" s="199"/>
    </row>
    <row r="551" ht="14.25" customHeight="1">
      <c r="H551" s="199"/>
    </row>
    <row r="552" ht="14.25" customHeight="1">
      <c r="H552" s="199"/>
    </row>
    <row r="553" ht="14.25" customHeight="1">
      <c r="H553" s="199"/>
    </row>
    <row r="554" ht="14.25" customHeight="1">
      <c r="H554" s="199"/>
    </row>
    <row r="555" ht="14.25" customHeight="1">
      <c r="H555" s="199"/>
    </row>
    <row r="556" ht="14.25" customHeight="1">
      <c r="H556" s="199"/>
    </row>
    <row r="557" ht="14.25" customHeight="1">
      <c r="H557" s="199"/>
    </row>
    <row r="558" ht="14.25" customHeight="1">
      <c r="H558" s="199"/>
    </row>
    <row r="559" ht="14.25" customHeight="1">
      <c r="H559" s="199"/>
    </row>
    <row r="560" ht="14.25" customHeight="1">
      <c r="H560" s="199"/>
    </row>
    <row r="561" ht="14.25" customHeight="1">
      <c r="H561" s="199"/>
    </row>
    <row r="562" ht="14.25" customHeight="1">
      <c r="H562" s="199"/>
    </row>
    <row r="563" ht="14.25" customHeight="1">
      <c r="H563" s="199"/>
    </row>
    <row r="564" ht="14.25" customHeight="1">
      <c r="H564" s="199"/>
    </row>
    <row r="565" ht="14.25" customHeight="1">
      <c r="H565" s="199"/>
    </row>
    <row r="566" ht="14.25" customHeight="1">
      <c r="H566" s="199"/>
    </row>
    <row r="567" ht="14.25" customHeight="1">
      <c r="H567" s="199"/>
    </row>
    <row r="568" ht="14.25" customHeight="1">
      <c r="H568" s="199"/>
    </row>
    <row r="569" ht="14.25" customHeight="1">
      <c r="H569" s="199"/>
    </row>
    <row r="570" ht="14.25" customHeight="1">
      <c r="H570" s="199"/>
    </row>
    <row r="571" ht="14.25" customHeight="1">
      <c r="H571" s="199"/>
    </row>
    <row r="572" ht="14.25" customHeight="1">
      <c r="H572" s="199"/>
    </row>
    <row r="573" ht="14.25" customHeight="1">
      <c r="H573" s="199"/>
    </row>
    <row r="574" ht="14.25" customHeight="1">
      <c r="H574" s="199"/>
    </row>
    <row r="575" ht="14.25" customHeight="1">
      <c r="H575" s="199"/>
    </row>
    <row r="576" ht="14.25" customHeight="1">
      <c r="H576" s="199"/>
    </row>
    <row r="577" ht="14.25" customHeight="1">
      <c r="H577" s="199"/>
    </row>
    <row r="578" ht="14.25" customHeight="1">
      <c r="H578" s="199"/>
    </row>
    <row r="579" ht="14.25" customHeight="1">
      <c r="H579" s="199"/>
    </row>
    <row r="580" ht="14.25" customHeight="1">
      <c r="H580" s="199"/>
    </row>
    <row r="581" ht="14.25" customHeight="1">
      <c r="H581" s="199"/>
    </row>
    <row r="582" ht="14.25" customHeight="1">
      <c r="H582" s="199"/>
    </row>
    <row r="583" ht="14.25" customHeight="1">
      <c r="H583" s="199"/>
    </row>
    <row r="584" ht="14.25" customHeight="1">
      <c r="H584" s="199"/>
    </row>
    <row r="585" ht="14.25" customHeight="1">
      <c r="H585" s="199"/>
    </row>
    <row r="586" ht="14.25" customHeight="1">
      <c r="H586" s="199"/>
    </row>
    <row r="587" ht="14.25" customHeight="1">
      <c r="H587" s="199"/>
    </row>
    <row r="588" ht="14.25" customHeight="1">
      <c r="H588" s="199"/>
    </row>
    <row r="589" ht="14.25" customHeight="1">
      <c r="H589" s="199"/>
    </row>
    <row r="590" ht="14.25" customHeight="1">
      <c r="H590" s="199"/>
    </row>
    <row r="591" ht="14.25" customHeight="1">
      <c r="H591" s="199"/>
    </row>
    <row r="592" ht="14.25" customHeight="1">
      <c r="H592" s="199"/>
    </row>
    <row r="593" ht="14.25" customHeight="1">
      <c r="H593" s="199"/>
    </row>
    <row r="594" ht="14.25" customHeight="1">
      <c r="H594" s="199"/>
    </row>
    <row r="595" ht="14.25" customHeight="1">
      <c r="H595" s="199"/>
    </row>
    <row r="596" ht="14.25" customHeight="1">
      <c r="H596" s="199"/>
    </row>
    <row r="597" ht="14.25" customHeight="1">
      <c r="H597" s="199"/>
    </row>
    <row r="598" ht="14.25" customHeight="1">
      <c r="H598" s="199"/>
    </row>
    <row r="599" ht="14.25" customHeight="1">
      <c r="H599" s="199"/>
    </row>
    <row r="600" ht="14.25" customHeight="1">
      <c r="H600" s="199"/>
    </row>
    <row r="601" ht="14.25" customHeight="1">
      <c r="H601" s="199"/>
    </row>
    <row r="602" ht="14.25" customHeight="1">
      <c r="H602" s="199"/>
    </row>
    <row r="603" ht="14.25" customHeight="1">
      <c r="H603" s="199"/>
    </row>
    <row r="604" ht="14.25" customHeight="1">
      <c r="H604" s="199"/>
    </row>
    <row r="605" ht="14.25" customHeight="1">
      <c r="H605" s="199"/>
    </row>
    <row r="606" ht="14.25" customHeight="1">
      <c r="H606" s="199"/>
    </row>
    <row r="607" ht="14.25" customHeight="1">
      <c r="H607" s="199"/>
    </row>
    <row r="608" ht="14.25" customHeight="1">
      <c r="H608" s="199"/>
    </row>
    <row r="609" ht="14.25" customHeight="1">
      <c r="H609" s="199"/>
    </row>
    <row r="610" ht="14.25" customHeight="1">
      <c r="H610" s="199"/>
    </row>
    <row r="611" ht="14.25" customHeight="1">
      <c r="H611" s="199"/>
    </row>
    <row r="612" ht="14.25" customHeight="1">
      <c r="H612" s="199"/>
    </row>
    <row r="613" ht="14.25" customHeight="1">
      <c r="H613" s="199"/>
    </row>
    <row r="614" ht="14.25" customHeight="1">
      <c r="H614" s="199"/>
    </row>
    <row r="615" ht="14.25" customHeight="1">
      <c r="H615" s="199"/>
    </row>
    <row r="616" ht="14.25" customHeight="1">
      <c r="H616" s="199"/>
    </row>
    <row r="617" ht="14.25" customHeight="1">
      <c r="H617" s="199"/>
    </row>
    <row r="618" ht="14.25" customHeight="1">
      <c r="H618" s="199"/>
    </row>
    <row r="619" ht="14.25" customHeight="1">
      <c r="H619" s="199"/>
    </row>
    <row r="620" ht="14.25" customHeight="1">
      <c r="H620" s="199"/>
    </row>
    <row r="621" ht="14.25" customHeight="1">
      <c r="H621" s="199"/>
    </row>
    <row r="622" ht="14.25" customHeight="1">
      <c r="H622" s="199"/>
    </row>
    <row r="623" ht="14.25" customHeight="1">
      <c r="H623" s="199"/>
    </row>
    <row r="624" ht="14.25" customHeight="1">
      <c r="H624" s="199"/>
    </row>
    <row r="625" ht="14.25" customHeight="1">
      <c r="H625" s="199"/>
    </row>
    <row r="626" ht="14.25" customHeight="1">
      <c r="H626" s="199"/>
    </row>
    <row r="627" ht="14.25" customHeight="1">
      <c r="H627" s="199"/>
    </row>
    <row r="628" ht="14.25" customHeight="1">
      <c r="H628" s="199"/>
    </row>
    <row r="629" ht="14.25" customHeight="1">
      <c r="H629" s="199"/>
    </row>
    <row r="630" ht="14.25" customHeight="1">
      <c r="H630" s="199"/>
    </row>
    <row r="631" ht="14.25" customHeight="1">
      <c r="H631" s="199"/>
    </row>
    <row r="632" ht="14.25" customHeight="1">
      <c r="H632" s="199"/>
    </row>
    <row r="633" ht="14.25" customHeight="1">
      <c r="H633" s="199"/>
    </row>
    <row r="634" ht="14.25" customHeight="1">
      <c r="H634" s="199"/>
    </row>
    <row r="635" ht="14.25" customHeight="1">
      <c r="H635" s="199"/>
    </row>
    <row r="636" ht="14.25" customHeight="1">
      <c r="H636" s="199"/>
    </row>
    <row r="637" ht="14.25" customHeight="1">
      <c r="H637" s="199"/>
    </row>
    <row r="638" ht="14.25" customHeight="1">
      <c r="H638" s="199"/>
    </row>
    <row r="639" ht="14.25" customHeight="1">
      <c r="H639" s="199"/>
    </row>
    <row r="640" ht="14.25" customHeight="1">
      <c r="H640" s="199"/>
    </row>
    <row r="641" ht="14.25" customHeight="1">
      <c r="H641" s="199"/>
    </row>
    <row r="642" ht="14.25" customHeight="1">
      <c r="H642" s="199"/>
    </row>
    <row r="643" ht="14.25" customHeight="1">
      <c r="H643" s="199"/>
    </row>
    <row r="644" ht="14.25" customHeight="1">
      <c r="H644" s="199"/>
    </row>
    <row r="645" ht="14.25" customHeight="1">
      <c r="H645" s="199"/>
    </row>
    <row r="646" ht="14.25" customHeight="1">
      <c r="H646" s="199"/>
    </row>
    <row r="647" ht="14.25" customHeight="1">
      <c r="H647" s="199"/>
    </row>
    <row r="648" ht="14.25" customHeight="1">
      <c r="H648" s="199"/>
    </row>
    <row r="649" ht="14.25" customHeight="1">
      <c r="H649" s="199"/>
    </row>
    <row r="650" ht="14.25" customHeight="1">
      <c r="H650" s="199"/>
    </row>
    <row r="651" ht="14.25" customHeight="1">
      <c r="H651" s="199"/>
    </row>
    <row r="652" ht="14.25" customHeight="1">
      <c r="H652" s="199"/>
    </row>
    <row r="653" ht="14.25" customHeight="1">
      <c r="H653" s="199"/>
    </row>
    <row r="654" ht="14.25" customHeight="1">
      <c r="H654" s="199"/>
    </row>
    <row r="655" ht="14.25" customHeight="1">
      <c r="H655" s="199"/>
    </row>
    <row r="656" ht="14.25" customHeight="1">
      <c r="H656" s="199"/>
    </row>
    <row r="657" ht="14.25" customHeight="1">
      <c r="H657" s="199"/>
    </row>
    <row r="658" ht="14.25" customHeight="1">
      <c r="H658" s="199"/>
    </row>
    <row r="659" ht="14.25" customHeight="1">
      <c r="H659" s="199"/>
    </row>
    <row r="660" ht="14.25" customHeight="1">
      <c r="H660" s="199"/>
    </row>
    <row r="661" ht="14.25" customHeight="1">
      <c r="H661" s="199"/>
    </row>
    <row r="662" ht="14.25" customHeight="1">
      <c r="H662" s="199"/>
    </row>
    <row r="663" ht="14.25" customHeight="1">
      <c r="H663" s="199"/>
    </row>
    <row r="664" ht="14.25" customHeight="1">
      <c r="H664" s="199"/>
    </row>
    <row r="665" ht="14.25" customHeight="1">
      <c r="H665" s="199"/>
    </row>
    <row r="666" ht="14.25" customHeight="1">
      <c r="H666" s="199"/>
    </row>
    <row r="667" ht="14.25" customHeight="1">
      <c r="H667" s="199"/>
    </row>
    <row r="668" ht="14.25" customHeight="1">
      <c r="H668" s="199"/>
    </row>
    <row r="669" ht="14.25" customHeight="1">
      <c r="H669" s="199"/>
    </row>
    <row r="670" ht="14.25" customHeight="1">
      <c r="H670" s="199"/>
    </row>
    <row r="671" ht="14.25" customHeight="1">
      <c r="H671" s="199"/>
    </row>
    <row r="672" ht="14.25" customHeight="1">
      <c r="H672" s="199"/>
    </row>
    <row r="673" ht="14.25" customHeight="1">
      <c r="H673" s="199"/>
    </row>
    <row r="674" ht="14.25" customHeight="1">
      <c r="H674" s="199"/>
    </row>
    <row r="675" ht="14.25" customHeight="1">
      <c r="H675" s="199"/>
    </row>
    <row r="676" ht="14.25" customHeight="1">
      <c r="H676" s="199"/>
    </row>
    <row r="677" ht="14.25" customHeight="1">
      <c r="H677" s="199"/>
    </row>
    <row r="678" ht="14.25" customHeight="1">
      <c r="H678" s="199"/>
    </row>
    <row r="679" ht="14.25" customHeight="1">
      <c r="H679" s="199"/>
    </row>
    <row r="680" ht="14.25" customHeight="1">
      <c r="H680" s="199"/>
    </row>
    <row r="681" ht="14.25" customHeight="1">
      <c r="H681" s="199"/>
    </row>
    <row r="682" ht="14.25" customHeight="1">
      <c r="H682" s="199"/>
    </row>
    <row r="683" ht="14.25" customHeight="1">
      <c r="H683" s="199"/>
    </row>
    <row r="684" ht="14.25" customHeight="1">
      <c r="H684" s="199"/>
    </row>
    <row r="685" ht="14.25" customHeight="1">
      <c r="H685" s="199"/>
    </row>
    <row r="686" ht="14.25" customHeight="1">
      <c r="H686" s="199"/>
    </row>
    <row r="687" ht="14.25" customHeight="1">
      <c r="H687" s="199"/>
    </row>
    <row r="688" ht="14.25" customHeight="1">
      <c r="H688" s="199"/>
    </row>
    <row r="689" ht="14.25" customHeight="1">
      <c r="H689" s="199"/>
    </row>
    <row r="690" ht="14.25" customHeight="1">
      <c r="H690" s="199"/>
    </row>
    <row r="691" ht="14.25" customHeight="1">
      <c r="H691" s="199"/>
    </row>
    <row r="692" ht="14.25" customHeight="1">
      <c r="H692" s="199"/>
    </row>
    <row r="693" ht="14.25" customHeight="1">
      <c r="H693" s="199"/>
    </row>
    <row r="694" ht="14.25" customHeight="1">
      <c r="H694" s="199"/>
    </row>
    <row r="695" ht="14.25" customHeight="1">
      <c r="H695" s="199"/>
    </row>
    <row r="696" ht="14.25" customHeight="1">
      <c r="H696" s="199"/>
    </row>
    <row r="697" ht="14.25" customHeight="1">
      <c r="H697" s="199"/>
    </row>
    <row r="698" ht="14.25" customHeight="1">
      <c r="H698" s="199"/>
    </row>
    <row r="699" ht="14.25" customHeight="1">
      <c r="H699" s="199"/>
    </row>
    <row r="700" ht="14.25" customHeight="1">
      <c r="H700" s="199"/>
    </row>
    <row r="701" ht="14.25" customHeight="1">
      <c r="H701" s="199"/>
    </row>
    <row r="702" ht="14.25" customHeight="1">
      <c r="H702" s="199"/>
    </row>
    <row r="703" ht="14.25" customHeight="1">
      <c r="H703" s="199"/>
    </row>
    <row r="704" ht="14.25" customHeight="1">
      <c r="H704" s="199"/>
    </row>
    <row r="705" ht="14.25" customHeight="1">
      <c r="H705" s="199"/>
    </row>
    <row r="706" ht="14.25" customHeight="1">
      <c r="H706" s="199"/>
    </row>
    <row r="707" ht="14.25" customHeight="1">
      <c r="H707" s="199"/>
    </row>
    <row r="708" ht="14.25" customHeight="1">
      <c r="H708" s="199"/>
    </row>
    <row r="709" ht="14.25" customHeight="1">
      <c r="H709" s="199"/>
    </row>
    <row r="710" ht="14.25" customHeight="1">
      <c r="H710" s="199"/>
    </row>
    <row r="711" ht="14.25" customHeight="1">
      <c r="H711" s="199"/>
    </row>
    <row r="712" ht="14.25" customHeight="1">
      <c r="H712" s="199"/>
    </row>
    <row r="713" ht="14.25" customHeight="1">
      <c r="H713" s="199"/>
    </row>
    <row r="714" ht="14.25" customHeight="1">
      <c r="H714" s="199"/>
    </row>
    <row r="715" ht="14.25" customHeight="1">
      <c r="H715" s="199"/>
    </row>
    <row r="716" ht="14.25" customHeight="1">
      <c r="H716" s="199"/>
    </row>
    <row r="717" ht="14.25" customHeight="1">
      <c r="H717" s="199"/>
    </row>
    <row r="718" ht="14.25" customHeight="1">
      <c r="H718" s="199"/>
    </row>
    <row r="719" ht="14.25" customHeight="1">
      <c r="H719" s="199"/>
    </row>
    <row r="720" ht="14.25" customHeight="1">
      <c r="H720" s="199"/>
    </row>
    <row r="721" ht="14.25" customHeight="1">
      <c r="H721" s="199"/>
    </row>
    <row r="722" ht="14.25" customHeight="1">
      <c r="H722" s="199"/>
    </row>
    <row r="723" ht="14.25" customHeight="1">
      <c r="H723" s="199"/>
    </row>
    <row r="724" ht="14.25" customHeight="1">
      <c r="H724" s="199"/>
    </row>
    <row r="725" ht="14.25" customHeight="1">
      <c r="H725" s="199"/>
    </row>
    <row r="726" ht="14.25" customHeight="1">
      <c r="H726" s="199"/>
    </row>
    <row r="727" ht="14.25" customHeight="1">
      <c r="H727" s="199"/>
    </row>
    <row r="728" ht="14.25" customHeight="1">
      <c r="H728" s="199"/>
    </row>
    <row r="729" ht="14.25" customHeight="1">
      <c r="H729" s="199"/>
    </row>
    <row r="730" ht="14.25" customHeight="1">
      <c r="H730" s="199"/>
    </row>
    <row r="731" ht="14.25" customHeight="1">
      <c r="H731" s="199"/>
    </row>
    <row r="732" ht="14.25" customHeight="1">
      <c r="H732" s="199"/>
    </row>
    <row r="733" ht="14.25" customHeight="1">
      <c r="H733" s="199"/>
    </row>
    <row r="734" ht="14.25" customHeight="1">
      <c r="H734" s="199"/>
    </row>
    <row r="735" ht="14.25" customHeight="1">
      <c r="H735" s="199"/>
    </row>
    <row r="736" ht="14.25" customHeight="1">
      <c r="H736" s="199"/>
    </row>
    <row r="737" ht="14.25" customHeight="1">
      <c r="H737" s="199"/>
    </row>
    <row r="738" ht="14.25" customHeight="1">
      <c r="H738" s="199"/>
    </row>
    <row r="739" ht="14.25" customHeight="1">
      <c r="H739" s="199"/>
    </row>
    <row r="740" ht="14.25" customHeight="1">
      <c r="H740" s="199"/>
    </row>
    <row r="741" ht="14.25" customHeight="1">
      <c r="H741" s="199"/>
    </row>
    <row r="742" ht="14.25" customHeight="1">
      <c r="H742" s="199"/>
    </row>
    <row r="743" ht="14.25" customHeight="1">
      <c r="H743" s="199"/>
    </row>
    <row r="744" ht="14.25" customHeight="1">
      <c r="H744" s="199"/>
    </row>
    <row r="745" ht="14.25" customHeight="1">
      <c r="H745" s="199"/>
    </row>
    <row r="746" ht="14.25" customHeight="1">
      <c r="H746" s="199"/>
    </row>
    <row r="747" ht="14.25" customHeight="1">
      <c r="H747" s="199"/>
    </row>
    <row r="748" ht="14.25" customHeight="1">
      <c r="H748" s="199"/>
    </row>
    <row r="749" ht="14.25" customHeight="1">
      <c r="H749" s="199"/>
    </row>
    <row r="750" ht="14.25" customHeight="1">
      <c r="H750" s="199"/>
    </row>
    <row r="751" ht="14.25" customHeight="1">
      <c r="H751" s="199"/>
    </row>
    <row r="752" ht="14.25" customHeight="1">
      <c r="H752" s="199"/>
    </row>
    <row r="753" ht="14.25" customHeight="1">
      <c r="H753" s="199"/>
    </row>
    <row r="754" ht="14.25" customHeight="1">
      <c r="H754" s="199"/>
    </row>
    <row r="755" ht="14.25" customHeight="1">
      <c r="H755" s="199"/>
    </row>
    <row r="756" ht="14.25" customHeight="1">
      <c r="H756" s="199"/>
    </row>
    <row r="757" ht="14.25" customHeight="1">
      <c r="H757" s="199"/>
    </row>
    <row r="758" ht="14.25" customHeight="1">
      <c r="H758" s="199"/>
    </row>
    <row r="759" ht="14.25" customHeight="1">
      <c r="H759" s="199"/>
    </row>
    <row r="760" ht="14.25" customHeight="1">
      <c r="H760" s="199"/>
    </row>
    <row r="761" ht="14.25" customHeight="1">
      <c r="H761" s="199"/>
    </row>
    <row r="762" ht="14.25" customHeight="1">
      <c r="H762" s="199"/>
    </row>
    <row r="763" ht="14.25" customHeight="1">
      <c r="H763" s="199"/>
    </row>
    <row r="764" ht="14.25" customHeight="1">
      <c r="H764" s="199"/>
    </row>
    <row r="765" ht="14.25" customHeight="1">
      <c r="H765" s="199"/>
    </row>
    <row r="766" ht="14.25" customHeight="1">
      <c r="H766" s="199"/>
    </row>
    <row r="767" ht="14.25" customHeight="1">
      <c r="H767" s="199"/>
    </row>
    <row r="768" ht="14.25" customHeight="1">
      <c r="H768" s="199"/>
    </row>
    <row r="769" ht="14.25" customHeight="1">
      <c r="H769" s="199"/>
    </row>
    <row r="770" ht="14.25" customHeight="1">
      <c r="H770" s="199"/>
    </row>
    <row r="771" ht="14.25" customHeight="1">
      <c r="H771" s="199"/>
    </row>
    <row r="772" ht="14.25" customHeight="1">
      <c r="H772" s="199"/>
    </row>
    <row r="773" ht="14.25" customHeight="1">
      <c r="H773" s="199"/>
    </row>
    <row r="774" ht="14.25" customHeight="1">
      <c r="H774" s="199"/>
    </row>
    <row r="775" ht="14.25" customHeight="1">
      <c r="H775" s="199"/>
    </row>
    <row r="776" ht="14.25" customHeight="1">
      <c r="H776" s="199"/>
    </row>
    <row r="777" ht="14.25" customHeight="1">
      <c r="H777" s="199"/>
    </row>
    <row r="778" ht="14.25" customHeight="1">
      <c r="H778" s="199"/>
    </row>
    <row r="779" ht="14.25" customHeight="1">
      <c r="H779" s="199"/>
    </row>
    <row r="780" ht="14.25" customHeight="1">
      <c r="H780" s="199"/>
    </row>
    <row r="781" ht="14.25" customHeight="1">
      <c r="H781" s="199"/>
    </row>
    <row r="782" ht="14.25" customHeight="1">
      <c r="H782" s="199"/>
    </row>
    <row r="783" ht="14.25" customHeight="1">
      <c r="H783" s="199"/>
    </row>
    <row r="784" ht="14.25" customHeight="1">
      <c r="H784" s="199"/>
    </row>
    <row r="785" ht="14.25" customHeight="1">
      <c r="H785" s="199"/>
    </row>
    <row r="786" ht="14.25" customHeight="1">
      <c r="H786" s="199"/>
    </row>
    <row r="787" ht="14.25" customHeight="1">
      <c r="H787" s="199"/>
    </row>
    <row r="788" ht="14.25" customHeight="1">
      <c r="H788" s="199"/>
    </row>
    <row r="789" ht="14.25" customHeight="1">
      <c r="H789" s="199"/>
    </row>
    <row r="790" ht="14.25" customHeight="1">
      <c r="H790" s="199"/>
    </row>
    <row r="791" ht="14.25" customHeight="1">
      <c r="H791" s="199"/>
    </row>
    <row r="792" ht="14.25" customHeight="1">
      <c r="H792" s="199"/>
    </row>
    <row r="793" ht="14.25" customHeight="1">
      <c r="H793" s="199"/>
    </row>
    <row r="794" ht="14.25" customHeight="1">
      <c r="H794" s="199"/>
    </row>
    <row r="795" ht="14.25" customHeight="1">
      <c r="H795" s="199"/>
    </row>
    <row r="796" ht="14.25" customHeight="1">
      <c r="H796" s="199"/>
    </row>
    <row r="797" ht="14.25" customHeight="1">
      <c r="H797" s="199"/>
    </row>
    <row r="798" ht="14.25" customHeight="1">
      <c r="H798" s="199"/>
    </row>
    <row r="799" ht="14.25" customHeight="1">
      <c r="H799" s="199"/>
    </row>
    <row r="800" ht="14.25" customHeight="1">
      <c r="H800" s="199"/>
    </row>
    <row r="801" ht="14.25" customHeight="1">
      <c r="H801" s="199"/>
    </row>
    <row r="802" ht="14.25" customHeight="1">
      <c r="H802" s="199"/>
    </row>
    <row r="803" ht="14.25" customHeight="1">
      <c r="H803" s="199"/>
    </row>
    <row r="804" ht="14.25" customHeight="1">
      <c r="H804" s="199"/>
    </row>
    <row r="805" ht="14.25" customHeight="1">
      <c r="H805" s="199"/>
    </row>
    <row r="806" ht="14.25" customHeight="1">
      <c r="H806" s="199"/>
    </row>
    <row r="807" ht="14.25" customHeight="1">
      <c r="H807" s="199"/>
    </row>
    <row r="808" ht="14.25" customHeight="1">
      <c r="H808" s="199"/>
    </row>
    <row r="809" ht="14.25" customHeight="1">
      <c r="H809" s="199"/>
    </row>
    <row r="810" ht="14.25" customHeight="1">
      <c r="H810" s="199"/>
    </row>
    <row r="811" ht="14.25" customHeight="1">
      <c r="H811" s="199"/>
    </row>
    <row r="812" ht="14.25" customHeight="1">
      <c r="H812" s="199"/>
    </row>
    <row r="813" ht="14.25" customHeight="1">
      <c r="H813" s="199"/>
    </row>
    <row r="814" ht="14.25" customHeight="1">
      <c r="H814" s="199"/>
    </row>
    <row r="815" ht="14.25" customHeight="1">
      <c r="H815" s="199"/>
    </row>
    <row r="816" ht="14.25" customHeight="1">
      <c r="H816" s="199"/>
    </row>
    <row r="817" ht="14.25" customHeight="1">
      <c r="H817" s="199"/>
    </row>
    <row r="818" ht="14.25" customHeight="1">
      <c r="H818" s="199"/>
    </row>
    <row r="819" ht="14.25" customHeight="1">
      <c r="H819" s="199"/>
    </row>
    <row r="820" ht="14.25" customHeight="1">
      <c r="H820" s="199"/>
    </row>
    <row r="821" ht="14.25" customHeight="1">
      <c r="H821" s="199"/>
    </row>
    <row r="822" ht="14.25" customHeight="1">
      <c r="H822" s="199"/>
    </row>
    <row r="823" ht="14.25" customHeight="1">
      <c r="H823" s="199"/>
    </row>
    <row r="824" ht="14.25" customHeight="1">
      <c r="H824" s="199"/>
    </row>
    <row r="825" ht="14.25" customHeight="1">
      <c r="H825" s="199"/>
    </row>
    <row r="826" ht="14.25" customHeight="1">
      <c r="H826" s="199"/>
    </row>
    <row r="827" ht="14.25" customHeight="1">
      <c r="H827" s="199"/>
    </row>
    <row r="828" ht="14.25" customHeight="1">
      <c r="H828" s="199"/>
    </row>
    <row r="829" ht="14.25" customHeight="1">
      <c r="H829" s="199"/>
    </row>
    <row r="830" ht="14.25" customHeight="1">
      <c r="H830" s="199"/>
    </row>
    <row r="831" ht="14.25" customHeight="1">
      <c r="H831" s="199"/>
    </row>
    <row r="832" ht="14.25" customHeight="1">
      <c r="H832" s="199"/>
    </row>
    <row r="833" ht="14.25" customHeight="1">
      <c r="H833" s="199"/>
    </row>
    <row r="834" ht="14.25" customHeight="1">
      <c r="H834" s="199"/>
    </row>
    <row r="835" ht="14.25" customHeight="1">
      <c r="H835" s="199"/>
    </row>
    <row r="836" ht="14.25" customHeight="1">
      <c r="H836" s="199"/>
    </row>
    <row r="837" ht="14.25" customHeight="1">
      <c r="H837" s="199"/>
    </row>
    <row r="838" ht="14.25" customHeight="1">
      <c r="H838" s="199"/>
    </row>
    <row r="839" ht="14.25" customHeight="1">
      <c r="H839" s="199"/>
    </row>
    <row r="840" ht="14.25" customHeight="1">
      <c r="H840" s="199"/>
    </row>
    <row r="841" ht="14.25" customHeight="1">
      <c r="H841" s="199"/>
    </row>
    <row r="842" ht="14.25" customHeight="1">
      <c r="H842" s="199"/>
    </row>
    <row r="843" ht="14.25" customHeight="1">
      <c r="H843" s="199"/>
    </row>
    <row r="844" ht="14.25" customHeight="1">
      <c r="H844" s="199"/>
    </row>
    <row r="845" ht="14.25" customHeight="1">
      <c r="H845" s="199"/>
    </row>
    <row r="846" ht="14.25" customHeight="1">
      <c r="H846" s="199"/>
    </row>
    <row r="847" ht="14.25" customHeight="1">
      <c r="H847" s="199"/>
    </row>
    <row r="848" ht="14.25" customHeight="1">
      <c r="H848" s="199"/>
    </row>
    <row r="849" ht="14.25" customHeight="1">
      <c r="H849" s="199"/>
    </row>
    <row r="850" ht="14.25" customHeight="1">
      <c r="H850" s="199"/>
    </row>
    <row r="851" ht="14.25" customHeight="1">
      <c r="H851" s="199"/>
    </row>
    <row r="852" ht="14.25" customHeight="1">
      <c r="H852" s="199"/>
    </row>
    <row r="853" ht="14.25" customHeight="1">
      <c r="H853" s="199"/>
    </row>
    <row r="854" ht="14.25" customHeight="1">
      <c r="H854" s="199"/>
    </row>
    <row r="855" ht="14.25" customHeight="1">
      <c r="H855" s="199"/>
    </row>
    <row r="856" ht="14.25" customHeight="1">
      <c r="H856" s="199"/>
    </row>
    <row r="857" ht="14.25" customHeight="1">
      <c r="H857" s="199"/>
    </row>
    <row r="858" ht="14.25" customHeight="1">
      <c r="H858" s="199"/>
    </row>
    <row r="859" ht="14.25" customHeight="1">
      <c r="H859" s="199"/>
    </row>
    <row r="860" ht="14.25" customHeight="1">
      <c r="H860" s="199"/>
    </row>
    <row r="861" ht="14.25" customHeight="1">
      <c r="H861" s="199"/>
    </row>
    <row r="862" ht="14.25" customHeight="1">
      <c r="H862" s="199"/>
    </row>
    <row r="863" ht="14.25" customHeight="1">
      <c r="H863" s="199"/>
    </row>
    <row r="864" ht="14.25" customHeight="1">
      <c r="H864" s="199"/>
    </row>
    <row r="865" ht="14.25" customHeight="1">
      <c r="H865" s="199"/>
    </row>
    <row r="866" ht="14.25" customHeight="1">
      <c r="H866" s="199"/>
    </row>
    <row r="867" ht="14.25" customHeight="1">
      <c r="H867" s="199"/>
    </row>
    <row r="868" ht="14.25" customHeight="1">
      <c r="H868" s="199"/>
    </row>
    <row r="869" ht="14.25" customHeight="1">
      <c r="H869" s="199"/>
    </row>
    <row r="870" ht="14.25" customHeight="1">
      <c r="H870" s="199"/>
    </row>
    <row r="871" ht="14.25" customHeight="1">
      <c r="H871" s="199"/>
    </row>
    <row r="872" ht="14.25" customHeight="1">
      <c r="H872" s="199"/>
    </row>
    <row r="873" ht="14.25" customHeight="1">
      <c r="H873" s="199"/>
    </row>
    <row r="874" ht="14.25" customHeight="1">
      <c r="H874" s="199"/>
    </row>
    <row r="875" ht="14.25" customHeight="1">
      <c r="H875" s="199"/>
    </row>
    <row r="876" ht="14.25" customHeight="1">
      <c r="H876" s="199"/>
    </row>
    <row r="877" ht="14.25" customHeight="1">
      <c r="H877" s="199"/>
    </row>
    <row r="878" ht="14.25" customHeight="1">
      <c r="H878" s="199"/>
    </row>
    <row r="879" ht="14.25" customHeight="1">
      <c r="H879" s="199"/>
    </row>
    <row r="880" ht="14.25" customHeight="1">
      <c r="H880" s="199"/>
    </row>
    <row r="881" ht="14.25" customHeight="1">
      <c r="H881" s="199"/>
    </row>
    <row r="882" ht="14.25" customHeight="1">
      <c r="H882" s="199"/>
    </row>
    <row r="883" ht="14.25" customHeight="1">
      <c r="H883" s="199"/>
    </row>
    <row r="884" ht="14.25" customHeight="1">
      <c r="H884" s="199"/>
    </row>
    <row r="885" ht="14.25" customHeight="1">
      <c r="H885" s="199"/>
    </row>
    <row r="886" ht="14.25" customHeight="1">
      <c r="H886" s="199"/>
    </row>
    <row r="887" ht="14.25" customHeight="1">
      <c r="H887" s="199"/>
    </row>
    <row r="888" ht="14.25" customHeight="1">
      <c r="H888" s="199"/>
    </row>
    <row r="889" ht="14.25" customHeight="1">
      <c r="H889" s="199"/>
    </row>
    <row r="890" ht="14.25" customHeight="1">
      <c r="H890" s="199"/>
    </row>
    <row r="891" ht="14.25" customHeight="1">
      <c r="H891" s="199"/>
    </row>
    <row r="892" ht="14.25" customHeight="1">
      <c r="H892" s="199"/>
    </row>
    <row r="893" ht="14.25" customHeight="1">
      <c r="H893" s="199"/>
    </row>
    <row r="894" ht="14.25" customHeight="1">
      <c r="H894" s="199"/>
    </row>
    <row r="895" ht="14.25" customHeight="1">
      <c r="H895" s="199"/>
    </row>
    <row r="896" ht="14.25" customHeight="1">
      <c r="H896" s="199"/>
    </row>
    <row r="897" ht="14.25" customHeight="1">
      <c r="H897" s="199"/>
    </row>
    <row r="898" ht="14.25" customHeight="1">
      <c r="H898" s="199"/>
    </row>
    <row r="899" ht="14.25" customHeight="1">
      <c r="H899" s="199"/>
    </row>
    <row r="900" ht="14.25" customHeight="1">
      <c r="H900" s="199"/>
    </row>
    <row r="901" ht="14.25" customHeight="1">
      <c r="H901" s="199"/>
    </row>
    <row r="902" ht="14.25" customHeight="1">
      <c r="H902" s="199"/>
    </row>
    <row r="903" ht="14.25" customHeight="1">
      <c r="H903" s="199"/>
    </row>
    <row r="904" ht="14.25" customHeight="1">
      <c r="H904" s="199"/>
    </row>
    <row r="905" ht="14.25" customHeight="1">
      <c r="H905" s="199"/>
    </row>
    <row r="906" ht="14.25" customHeight="1">
      <c r="H906" s="199"/>
    </row>
    <row r="907" ht="14.25" customHeight="1">
      <c r="H907" s="199"/>
    </row>
    <row r="908" ht="14.25" customHeight="1">
      <c r="H908" s="199"/>
    </row>
    <row r="909" ht="14.25" customHeight="1">
      <c r="H909" s="199"/>
    </row>
    <row r="910" ht="14.25" customHeight="1">
      <c r="H910" s="199"/>
    </row>
    <row r="911" ht="14.25" customHeight="1">
      <c r="H911" s="199"/>
    </row>
    <row r="912" ht="14.25" customHeight="1">
      <c r="H912" s="199"/>
    </row>
    <row r="913" ht="14.25" customHeight="1">
      <c r="H913" s="199"/>
    </row>
    <row r="914" ht="14.25" customHeight="1">
      <c r="H914" s="199"/>
    </row>
    <row r="915" ht="14.25" customHeight="1">
      <c r="H915" s="199"/>
    </row>
    <row r="916" ht="14.25" customHeight="1">
      <c r="H916" s="199"/>
    </row>
    <row r="917" ht="14.25" customHeight="1">
      <c r="H917" s="199"/>
    </row>
    <row r="918" ht="14.25" customHeight="1">
      <c r="H918" s="199"/>
    </row>
    <row r="919" ht="14.25" customHeight="1">
      <c r="H919" s="199"/>
    </row>
    <row r="920" ht="14.25" customHeight="1">
      <c r="H920" s="199"/>
    </row>
    <row r="921" ht="14.25" customHeight="1">
      <c r="H921" s="199"/>
    </row>
    <row r="922" ht="14.25" customHeight="1">
      <c r="H922" s="199"/>
    </row>
    <row r="923" ht="14.25" customHeight="1">
      <c r="H923" s="199"/>
    </row>
    <row r="924" ht="14.25" customHeight="1">
      <c r="H924" s="199"/>
    </row>
    <row r="925" ht="14.25" customHeight="1">
      <c r="H925" s="199"/>
    </row>
    <row r="926" ht="14.25" customHeight="1">
      <c r="H926" s="199"/>
    </row>
    <row r="927" ht="14.25" customHeight="1">
      <c r="H927" s="199"/>
    </row>
    <row r="928" ht="14.25" customHeight="1">
      <c r="H928" s="199"/>
    </row>
    <row r="929" ht="14.25" customHeight="1">
      <c r="H929" s="199"/>
    </row>
    <row r="930" ht="14.25" customHeight="1">
      <c r="H930" s="199"/>
    </row>
    <row r="931" ht="14.25" customHeight="1">
      <c r="H931" s="199"/>
    </row>
    <row r="932" ht="14.25" customHeight="1">
      <c r="H932" s="199"/>
    </row>
    <row r="933" ht="14.25" customHeight="1">
      <c r="H933" s="199"/>
    </row>
    <row r="934" ht="14.25" customHeight="1">
      <c r="H934" s="199"/>
    </row>
    <row r="935" ht="14.25" customHeight="1">
      <c r="H935" s="199"/>
    </row>
    <row r="936" ht="14.25" customHeight="1">
      <c r="H936" s="199"/>
    </row>
    <row r="937" ht="14.25" customHeight="1">
      <c r="H937" s="199"/>
    </row>
    <row r="938" ht="14.25" customHeight="1">
      <c r="H938" s="199"/>
    </row>
    <row r="939" ht="14.25" customHeight="1">
      <c r="H939" s="199"/>
    </row>
    <row r="940" ht="14.25" customHeight="1">
      <c r="H940" s="199"/>
    </row>
    <row r="941" ht="14.25" customHeight="1">
      <c r="H941" s="199"/>
    </row>
    <row r="942" ht="14.25" customHeight="1">
      <c r="H942" s="199"/>
    </row>
    <row r="943" ht="14.25" customHeight="1">
      <c r="H943" s="199"/>
    </row>
    <row r="944" ht="14.25" customHeight="1">
      <c r="H944" s="199"/>
    </row>
    <row r="945" ht="14.25" customHeight="1">
      <c r="H945" s="199"/>
    </row>
    <row r="946" ht="14.25" customHeight="1">
      <c r="H946" s="199"/>
    </row>
    <row r="947" ht="14.25" customHeight="1">
      <c r="H947" s="199"/>
    </row>
    <row r="948" ht="14.25" customHeight="1">
      <c r="H948" s="199"/>
    </row>
    <row r="949" ht="14.25" customHeight="1">
      <c r="H949" s="199"/>
    </row>
    <row r="950" ht="14.25" customHeight="1">
      <c r="H950" s="199"/>
    </row>
    <row r="951" ht="14.25" customHeight="1">
      <c r="H951" s="199"/>
    </row>
    <row r="952" ht="14.25" customHeight="1">
      <c r="H952" s="199"/>
    </row>
    <row r="953" ht="14.25" customHeight="1">
      <c r="H953" s="199"/>
    </row>
    <row r="954" ht="14.25" customHeight="1">
      <c r="H954" s="199"/>
    </row>
    <row r="955" ht="14.25" customHeight="1">
      <c r="H955" s="199"/>
    </row>
    <row r="956" ht="14.25" customHeight="1">
      <c r="H956" s="199"/>
    </row>
    <row r="957" ht="14.25" customHeight="1">
      <c r="H957" s="199"/>
    </row>
    <row r="958" ht="14.25" customHeight="1">
      <c r="H958" s="199"/>
    </row>
    <row r="959" ht="14.25" customHeight="1">
      <c r="H959" s="199"/>
    </row>
    <row r="960" ht="14.25" customHeight="1">
      <c r="H960" s="199"/>
    </row>
    <row r="961" ht="14.25" customHeight="1">
      <c r="H961" s="199"/>
    </row>
    <row r="962" ht="14.25" customHeight="1">
      <c r="H962" s="199"/>
    </row>
    <row r="963" ht="14.25" customHeight="1">
      <c r="H963" s="199"/>
    </row>
    <row r="964" ht="14.25" customHeight="1">
      <c r="H964" s="199"/>
    </row>
    <row r="965" ht="14.25" customHeight="1">
      <c r="H965" s="199"/>
    </row>
    <row r="966" ht="14.25" customHeight="1">
      <c r="H966" s="199"/>
    </row>
    <row r="967" ht="14.25" customHeight="1">
      <c r="H967" s="199"/>
    </row>
    <row r="968" ht="14.25" customHeight="1">
      <c r="H968" s="199"/>
    </row>
    <row r="969" ht="14.25" customHeight="1">
      <c r="H969" s="199"/>
    </row>
    <row r="970" ht="14.25" customHeight="1">
      <c r="H970" s="199"/>
    </row>
    <row r="971" ht="14.25" customHeight="1">
      <c r="H971" s="199"/>
    </row>
    <row r="972" ht="14.25" customHeight="1">
      <c r="H972" s="199"/>
    </row>
    <row r="973" ht="14.25" customHeight="1">
      <c r="H973" s="199"/>
    </row>
    <row r="974" ht="14.25" customHeight="1">
      <c r="H974" s="199"/>
    </row>
    <row r="975" ht="14.25" customHeight="1">
      <c r="H975" s="199"/>
    </row>
    <row r="976" ht="14.25" customHeight="1">
      <c r="H976" s="199"/>
    </row>
    <row r="977" ht="14.25" customHeight="1">
      <c r="H977" s="199"/>
    </row>
    <row r="978" ht="14.25" customHeight="1">
      <c r="H978" s="199"/>
    </row>
    <row r="979" ht="14.25" customHeight="1">
      <c r="H979" s="199"/>
    </row>
    <row r="980" ht="14.25" customHeight="1">
      <c r="H980" s="199"/>
    </row>
    <row r="981" ht="14.25" customHeight="1">
      <c r="H981" s="199"/>
    </row>
    <row r="982" ht="14.25" customHeight="1">
      <c r="H982" s="199"/>
    </row>
    <row r="983" ht="14.25" customHeight="1">
      <c r="H983" s="199"/>
    </row>
    <row r="984" ht="14.25" customHeight="1">
      <c r="H984" s="199"/>
    </row>
    <row r="985" ht="14.25" customHeight="1">
      <c r="H985" s="199"/>
    </row>
    <row r="986" ht="14.25" customHeight="1">
      <c r="H986" s="199"/>
    </row>
    <row r="987" ht="14.25" customHeight="1">
      <c r="H987" s="199"/>
    </row>
    <row r="988" ht="14.25" customHeight="1">
      <c r="H988" s="199"/>
    </row>
    <row r="989" ht="14.25" customHeight="1">
      <c r="H989" s="199"/>
    </row>
    <row r="990" ht="14.25" customHeight="1">
      <c r="H990" s="199"/>
    </row>
    <row r="991" ht="14.25" customHeight="1">
      <c r="H991" s="199"/>
    </row>
    <row r="992" ht="14.25" customHeight="1">
      <c r="H992" s="199"/>
    </row>
    <row r="993" ht="14.25" customHeight="1">
      <c r="H993" s="199"/>
    </row>
    <row r="994" ht="14.25" customHeight="1">
      <c r="H994" s="199"/>
    </row>
    <row r="995" ht="14.25" customHeight="1">
      <c r="H995" s="199"/>
    </row>
    <row r="996" ht="14.25" customHeight="1">
      <c r="H996" s="199"/>
    </row>
    <row r="997" ht="14.25" customHeight="1">
      <c r="H997" s="199"/>
    </row>
    <row r="998" ht="14.25" customHeight="1">
      <c r="H998" s="199"/>
    </row>
    <row r="999" ht="14.25" customHeight="1">
      <c r="H999" s="199"/>
    </row>
    <row r="1000" ht="14.25" customHeight="1">
      <c r="H1000" s="19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0"/>
    <col customWidth="1" min="3" max="3" width="11.29"/>
    <col customWidth="1" min="4" max="4" width="16.57"/>
    <col customWidth="1" min="5" max="5" width="20.29"/>
    <col customWidth="1" min="6" max="6" width="21.29"/>
    <col customWidth="1" min="7" max="7" width="13.71"/>
    <col customWidth="1" min="8" max="8" width="8.71"/>
    <col customWidth="1" min="9" max="9" width="21.14"/>
    <col customWidth="1" min="10" max="26" width="11.43"/>
  </cols>
  <sheetData>
    <row r="1" ht="14.25" customHeight="1">
      <c r="A1" s="3"/>
      <c r="B1" s="200"/>
      <c r="C1" s="3"/>
      <c r="D1" s="129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20" t="s">
        <v>168</v>
      </c>
      <c r="C2" s="20" t="s">
        <v>169</v>
      </c>
      <c r="D2" s="20" t="s">
        <v>170</v>
      </c>
      <c r="E2" s="20" t="s">
        <v>171</v>
      </c>
      <c r="F2" s="20" t="s">
        <v>172</v>
      </c>
      <c r="G2" s="20" t="s">
        <v>173</v>
      </c>
      <c r="H2" s="20" t="s">
        <v>174</v>
      </c>
      <c r="I2" s="20" t="s">
        <v>175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20">
        <v>4426998.0</v>
      </c>
      <c r="C3" s="20">
        <v>1.2370252E7</v>
      </c>
      <c r="D3" s="20" t="s">
        <v>176</v>
      </c>
      <c r="E3" s="20" t="s">
        <v>177</v>
      </c>
      <c r="F3" s="20" t="s">
        <v>178</v>
      </c>
      <c r="G3" s="20" t="s">
        <v>179</v>
      </c>
      <c r="H3" s="20">
        <v>-100.0</v>
      </c>
      <c r="I3" s="203">
        <v>45936.828576388885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200"/>
      <c r="C4" s="3"/>
      <c r="D4" s="129"/>
      <c r="E4" s="3"/>
      <c r="F4" s="3"/>
      <c r="G4" s="3"/>
      <c r="H4" s="204">
        <f>SUM(H3)</f>
        <v>-100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74"/>
      <c r="B5" s="205"/>
      <c r="C5" s="74"/>
      <c r="D5" s="206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ht="14.25" customHeight="1">
      <c r="A6" s="3"/>
      <c r="B6" s="200"/>
      <c r="C6" s="3"/>
      <c r="D6" s="12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20" t="s">
        <v>168</v>
      </c>
      <c r="C7" s="20" t="s">
        <v>169</v>
      </c>
      <c r="D7" s="20" t="s">
        <v>170</v>
      </c>
      <c r="E7" s="20" t="s">
        <v>171</v>
      </c>
      <c r="F7" s="20" t="s">
        <v>172</v>
      </c>
      <c r="G7" s="20" t="s">
        <v>173</v>
      </c>
      <c r="H7" s="20" t="s">
        <v>174</v>
      </c>
      <c r="I7" s="20" t="s">
        <v>175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20">
        <v>4423862.0</v>
      </c>
      <c r="C8" s="20">
        <v>1.2383221E7</v>
      </c>
      <c r="D8" s="20" t="s">
        <v>176</v>
      </c>
      <c r="E8" s="20" t="s">
        <v>177</v>
      </c>
      <c r="F8" s="20" t="s">
        <v>180</v>
      </c>
      <c r="G8" s="20" t="s">
        <v>179</v>
      </c>
      <c r="H8" s="20">
        <v>-150.0</v>
      </c>
      <c r="I8" s="203">
        <v>45938.84490740741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200"/>
      <c r="C9" s="3"/>
      <c r="D9" s="129"/>
      <c r="E9" s="3"/>
      <c r="F9" s="3"/>
      <c r="G9" s="3"/>
      <c r="H9" s="204">
        <f>SUM(H8)</f>
        <v>-150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74"/>
      <c r="B10" s="205"/>
      <c r="C10" s="74"/>
      <c r="D10" s="206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ht="14.25" customHeight="1">
      <c r="A11" s="3"/>
      <c r="B11" s="200"/>
      <c r="C11" s="3"/>
      <c r="D11" s="129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20" t="s">
        <v>168</v>
      </c>
      <c r="C12" s="20" t="s">
        <v>169</v>
      </c>
      <c r="D12" s="20" t="s">
        <v>170</v>
      </c>
      <c r="E12" s="20" t="s">
        <v>171</v>
      </c>
      <c r="F12" s="20" t="s">
        <v>172</v>
      </c>
      <c r="G12" s="20" t="s">
        <v>173</v>
      </c>
      <c r="H12" s="20" t="s">
        <v>174</v>
      </c>
      <c r="I12" s="20" t="s">
        <v>175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20">
        <v>5752439.0</v>
      </c>
      <c r="C13" s="20">
        <v>1.2390316E7</v>
      </c>
      <c r="D13" s="20" t="s">
        <v>181</v>
      </c>
      <c r="E13" s="20" t="s">
        <v>177</v>
      </c>
      <c r="F13" s="20" t="s">
        <v>182</v>
      </c>
      <c r="G13" s="20" t="s">
        <v>183</v>
      </c>
      <c r="H13" s="20">
        <v>150.0</v>
      </c>
      <c r="I13" s="203">
        <v>45939.8762037037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200"/>
      <c r="C14" s="3"/>
      <c r="D14" s="129"/>
      <c r="E14" s="3"/>
      <c r="F14" s="3"/>
      <c r="G14" s="3"/>
      <c r="H14" s="204">
        <f>SUM(H13)</f>
        <v>150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74"/>
      <c r="B15" s="205"/>
      <c r="C15" s="74"/>
      <c r="D15" s="206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ht="14.25" customHeight="1">
      <c r="A16" s="3"/>
      <c r="B16" s="200"/>
      <c r="C16" s="3"/>
      <c r="D16" s="12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20" t="s">
        <v>168</v>
      </c>
      <c r="C17" s="20" t="s">
        <v>169</v>
      </c>
      <c r="D17" s="20" t="s">
        <v>170</v>
      </c>
      <c r="E17" s="20" t="s">
        <v>171</v>
      </c>
      <c r="F17" s="20" t="s">
        <v>172</v>
      </c>
      <c r="G17" s="20" t="s">
        <v>173</v>
      </c>
      <c r="H17" s="20" t="s">
        <v>174</v>
      </c>
      <c r="I17" s="20" t="s">
        <v>175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20">
        <v>4422777.0</v>
      </c>
      <c r="C18" s="20">
        <v>1.2399729E7</v>
      </c>
      <c r="D18" s="20" t="s">
        <v>176</v>
      </c>
      <c r="E18" s="20" t="s">
        <v>177</v>
      </c>
      <c r="F18" s="20" t="s">
        <v>184</v>
      </c>
      <c r="G18" s="20" t="s">
        <v>179</v>
      </c>
      <c r="H18" s="20">
        <v>-200.0</v>
      </c>
      <c r="I18" s="203">
        <v>45940.921631944446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200"/>
      <c r="C19" s="3"/>
      <c r="D19" s="129"/>
      <c r="E19" s="3"/>
      <c r="F19" s="3"/>
      <c r="G19" s="3"/>
      <c r="H19" s="204">
        <f>SUM(H18)</f>
        <v>-200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74"/>
      <c r="B20" s="205"/>
      <c r="C20" s="74"/>
      <c r="D20" s="206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4.25" customHeight="1">
      <c r="A21" s="3"/>
      <c r="B21" s="200"/>
      <c r="C21" s="3"/>
      <c r="D21" s="12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20" t="s">
        <v>168</v>
      </c>
      <c r="C22" s="20" t="s">
        <v>169</v>
      </c>
      <c r="D22" s="20" t="s">
        <v>170</v>
      </c>
      <c r="E22" s="20" t="s">
        <v>171</v>
      </c>
      <c r="F22" s="20" t="s">
        <v>172</v>
      </c>
      <c r="G22" s="20" t="s">
        <v>173</v>
      </c>
      <c r="H22" s="20" t="s">
        <v>174</v>
      </c>
      <c r="I22" s="20" t="s">
        <v>175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20">
        <v>5758256.0</v>
      </c>
      <c r="C23" s="20">
        <v>1.2408422E7</v>
      </c>
      <c r="D23" s="20" t="s">
        <v>181</v>
      </c>
      <c r="E23" s="20" t="s">
        <v>177</v>
      </c>
      <c r="F23" s="20" t="s">
        <v>185</v>
      </c>
      <c r="G23" s="20" t="s">
        <v>183</v>
      </c>
      <c r="H23" s="20">
        <v>150.0</v>
      </c>
      <c r="I23" s="203">
        <v>45941.7546875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200"/>
      <c r="C24" s="3"/>
      <c r="D24" s="129"/>
      <c r="E24" s="3"/>
      <c r="F24" s="3"/>
      <c r="G24" s="3"/>
      <c r="H24" s="204">
        <f>SUM(H23)</f>
        <v>150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200"/>
      <c r="C25" s="3"/>
      <c r="D25" s="12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200"/>
      <c r="C26" s="3"/>
      <c r="D26" s="12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20" t="s">
        <v>168</v>
      </c>
      <c r="C27" s="20" t="s">
        <v>169</v>
      </c>
      <c r="D27" s="20" t="s">
        <v>170</v>
      </c>
      <c r="E27" s="20" t="s">
        <v>171</v>
      </c>
      <c r="F27" s="20" t="s">
        <v>172</v>
      </c>
      <c r="G27" s="20" t="s">
        <v>173</v>
      </c>
      <c r="H27" s="20" t="s">
        <v>174</v>
      </c>
      <c r="I27" s="20" t="s">
        <v>175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20">
        <v>4936334.0</v>
      </c>
      <c r="C28" s="20">
        <v>1.2405055E7</v>
      </c>
      <c r="D28" s="20" t="s">
        <v>181</v>
      </c>
      <c r="E28" s="20" t="s">
        <v>177</v>
      </c>
      <c r="F28" s="20" t="s">
        <v>186</v>
      </c>
      <c r="G28" s="20" t="s">
        <v>179</v>
      </c>
      <c r="H28" s="20">
        <v>-100.0</v>
      </c>
      <c r="I28" s="203">
        <v>45941.61761574074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20">
        <v>5489870.0</v>
      </c>
      <c r="C29" s="20">
        <v>1.2408981E7</v>
      </c>
      <c r="D29" s="20" t="s">
        <v>181</v>
      </c>
      <c r="E29" s="20" t="s">
        <v>177</v>
      </c>
      <c r="F29" s="20" t="s">
        <v>187</v>
      </c>
      <c r="G29" s="20" t="s">
        <v>179</v>
      </c>
      <c r="H29" s="20">
        <v>-150.0</v>
      </c>
      <c r="I29" s="203">
        <v>45941.77693287037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20">
        <v>4428833.0</v>
      </c>
      <c r="C30" s="20">
        <v>1.2406767E7</v>
      </c>
      <c r="D30" s="20" t="s">
        <v>176</v>
      </c>
      <c r="E30" s="20" t="s">
        <v>177</v>
      </c>
      <c r="F30" s="20" t="s">
        <v>188</v>
      </c>
      <c r="G30" s="20" t="s">
        <v>179</v>
      </c>
      <c r="H30" s="20">
        <v>-100.0</v>
      </c>
      <c r="I30" s="203">
        <v>45941.682800925926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20">
        <v>4424927.0</v>
      </c>
      <c r="C31" s="20">
        <v>1.2408182E7</v>
      </c>
      <c r="D31" s="20" t="s">
        <v>176</v>
      </c>
      <c r="E31" s="20" t="s">
        <v>177</v>
      </c>
      <c r="F31" s="20" t="s">
        <v>189</v>
      </c>
      <c r="G31" s="20" t="s">
        <v>179</v>
      </c>
      <c r="H31" s="20">
        <v>-150.0</v>
      </c>
      <c r="I31" s="203">
        <v>45941.74519675926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20">
        <v>4423930.0</v>
      </c>
      <c r="C32" s="20">
        <v>1.2408582E7</v>
      </c>
      <c r="D32" s="20" t="s">
        <v>176</v>
      </c>
      <c r="E32" s="20" t="s">
        <v>177</v>
      </c>
      <c r="F32" s="20" t="s">
        <v>190</v>
      </c>
      <c r="G32" s="20" t="s">
        <v>179</v>
      </c>
      <c r="H32" s="20">
        <v>-150.0</v>
      </c>
      <c r="I32" s="203">
        <v>45941.75960648148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20">
        <v>4420928.0</v>
      </c>
      <c r="C33" s="20">
        <v>1.2409443E7</v>
      </c>
      <c r="D33" s="20" t="s">
        <v>176</v>
      </c>
      <c r="E33" s="20" t="s">
        <v>177</v>
      </c>
      <c r="F33" s="20" t="s">
        <v>191</v>
      </c>
      <c r="G33" s="20" t="s">
        <v>179</v>
      </c>
      <c r="H33" s="20">
        <v>-87.5</v>
      </c>
      <c r="I33" s="203">
        <v>45941.79790509259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20">
        <v>4425160.0</v>
      </c>
      <c r="C34" s="20">
        <v>1.2409666E7</v>
      </c>
      <c r="D34" s="20" t="s">
        <v>176</v>
      </c>
      <c r="E34" s="20" t="s">
        <v>177</v>
      </c>
      <c r="F34" s="20" t="s">
        <v>192</v>
      </c>
      <c r="G34" s="20" t="s">
        <v>179</v>
      </c>
      <c r="H34" s="20">
        <v>-150.0</v>
      </c>
      <c r="I34" s="203">
        <v>45941.80813657407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20">
        <v>5318880.0</v>
      </c>
      <c r="C35" s="20">
        <v>1.2409289E7</v>
      </c>
      <c r="D35" s="20" t="s">
        <v>193</v>
      </c>
      <c r="E35" s="20" t="s">
        <v>177</v>
      </c>
      <c r="F35" s="20" t="s">
        <v>194</v>
      </c>
      <c r="G35" s="20" t="s">
        <v>179</v>
      </c>
      <c r="H35" s="20">
        <v>-150.0</v>
      </c>
      <c r="I35" s="203">
        <v>45941.790127314816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20">
        <v>5633644.0</v>
      </c>
      <c r="C36" s="20">
        <v>1.2410059E7</v>
      </c>
      <c r="D36" s="20" t="s">
        <v>193</v>
      </c>
      <c r="E36" s="20" t="s">
        <v>177</v>
      </c>
      <c r="F36" s="20" t="s">
        <v>195</v>
      </c>
      <c r="G36" s="20" t="s">
        <v>179</v>
      </c>
      <c r="H36" s="20">
        <v>-300.0</v>
      </c>
      <c r="I36" s="203">
        <v>45941.826898148145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200"/>
      <c r="C37" s="3"/>
      <c r="D37" s="129"/>
      <c r="E37" s="3"/>
      <c r="F37" s="3"/>
      <c r="G37" s="3"/>
      <c r="H37" s="204">
        <f>SUM(H28:H36)</f>
        <v>-1337.5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74"/>
      <c r="B38" s="205"/>
      <c r="C38" s="74"/>
      <c r="D38" s="206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ht="14.25" customHeight="1">
      <c r="A39" s="3"/>
      <c r="B39" s="200"/>
      <c r="C39" s="3"/>
      <c r="D39" s="12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20" t="s">
        <v>168</v>
      </c>
      <c r="C40" s="20" t="s">
        <v>169</v>
      </c>
      <c r="D40" s="20" t="s">
        <v>170</v>
      </c>
      <c r="E40" s="20" t="s">
        <v>171</v>
      </c>
      <c r="F40" s="20" t="s">
        <v>172</v>
      </c>
      <c r="G40" s="20" t="s">
        <v>173</v>
      </c>
      <c r="H40" s="20" t="s">
        <v>174</v>
      </c>
      <c r="I40" s="20" t="s">
        <v>175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20">
        <v>5760199.0</v>
      </c>
      <c r="C41" s="20">
        <v>1.2415483E7</v>
      </c>
      <c r="D41" s="20" t="s">
        <v>181</v>
      </c>
      <c r="E41" s="20" t="s">
        <v>177</v>
      </c>
      <c r="F41" s="20" t="s">
        <v>196</v>
      </c>
      <c r="G41" s="20" t="s">
        <v>183</v>
      </c>
      <c r="H41" s="20">
        <v>100.0</v>
      </c>
      <c r="I41" s="203">
        <v>45942.575266203705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20">
        <v>5760283.0</v>
      </c>
      <c r="C42" s="20">
        <v>1.2415808E7</v>
      </c>
      <c r="D42" s="20" t="s">
        <v>181</v>
      </c>
      <c r="E42" s="20" t="s">
        <v>177</v>
      </c>
      <c r="F42" s="20" t="s">
        <v>197</v>
      </c>
      <c r="G42" s="20" t="s">
        <v>183</v>
      </c>
      <c r="H42" s="20">
        <v>100.0</v>
      </c>
      <c r="I42" s="203">
        <v>45942.59210648148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20">
        <v>5760289.0</v>
      </c>
      <c r="C43" s="20">
        <v>1.2415831E7</v>
      </c>
      <c r="D43" s="20" t="s">
        <v>181</v>
      </c>
      <c r="E43" s="20" t="s">
        <v>177</v>
      </c>
      <c r="F43" s="20" t="s">
        <v>198</v>
      </c>
      <c r="G43" s="20" t="s">
        <v>183</v>
      </c>
      <c r="H43" s="20">
        <v>150.0</v>
      </c>
      <c r="I43" s="203">
        <v>45942.59344907408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200"/>
      <c r="C44" s="3"/>
      <c r="D44" s="129"/>
      <c r="E44" s="3"/>
      <c r="F44" s="3"/>
      <c r="G44" s="3"/>
      <c r="H44" s="204">
        <f>SUM(H41:H43)</f>
        <v>350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200"/>
      <c r="C45" s="3"/>
      <c r="D45" s="12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20" t="s">
        <v>168</v>
      </c>
      <c r="C46" s="20" t="s">
        <v>169</v>
      </c>
      <c r="D46" s="20" t="s">
        <v>170</v>
      </c>
      <c r="E46" s="20" t="s">
        <v>171</v>
      </c>
      <c r="F46" s="20" t="s">
        <v>172</v>
      </c>
      <c r="G46" s="20" t="s">
        <v>173</v>
      </c>
      <c r="H46" s="20" t="s">
        <v>174</v>
      </c>
      <c r="I46" s="20" t="s">
        <v>175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20">
        <v>4447970.0</v>
      </c>
      <c r="C47" s="20">
        <v>1.2417243E7</v>
      </c>
      <c r="D47" s="20" t="s">
        <v>176</v>
      </c>
      <c r="E47" s="20" t="s">
        <v>177</v>
      </c>
      <c r="F47" s="20" t="s">
        <v>199</v>
      </c>
      <c r="G47" s="20" t="s">
        <v>179</v>
      </c>
      <c r="H47" s="20">
        <v>-75.0</v>
      </c>
      <c r="I47" s="203">
        <v>45942.66388888889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200"/>
      <c r="C48" s="3"/>
      <c r="D48" s="129"/>
      <c r="E48" s="3"/>
      <c r="F48" s="3"/>
      <c r="G48" s="3"/>
      <c r="H48" s="204">
        <f>SUM(H47)</f>
        <v>-75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74"/>
      <c r="B49" s="205"/>
      <c r="C49" s="74"/>
      <c r="D49" s="206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14.25" customHeight="1">
      <c r="A50" s="3"/>
      <c r="B50" s="200"/>
      <c r="C50" s="3"/>
      <c r="D50" s="12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200"/>
      <c r="C51" s="3"/>
      <c r="D51" s="12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200"/>
      <c r="C52" s="3"/>
      <c r="D52" s="129"/>
      <c r="E52" s="207" t="s">
        <v>200</v>
      </c>
      <c r="F52" s="208">
        <f>H14+H24+H44</f>
        <v>650</v>
      </c>
      <c r="G52" s="209" t="s">
        <v>201</v>
      </c>
      <c r="H52" s="3" t="s">
        <v>202</v>
      </c>
      <c r="I52" s="3" t="s">
        <v>203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200"/>
      <c r="C53" s="3"/>
      <c r="D53" s="129"/>
      <c r="E53" s="210" t="s">
        <v>204</v>
      </c>
      <c r="F53" s="211">
        <f>-H4-H9-H19-H37-H48</f>
        <v>1862.5</v>
      </c>
      <c r="G53" s="209" t="s">
        <v>201</v>
      </c>
      <c r="H53" s="3" t="s">
        <v>205</v>
      </c>
      <c r="I53" s="3" t="s">
        <v>206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200"/>
      <c r="C54" s="3"/>
      <c r="D54" s="129"/>
      <c r="E54" s="212" t="s">
        <v>207</v>
      </c>
      <c r="F54" s="213">
        <f>-'Digital GVs'!H4-'Digital GVs'!H9-'Digital GVs'!H15-'Digital GVs'!H27-'Digital GVs'!H33</f>
        <v>2017.9</v>
      </c>
      <c r="G54" s="209" t="s">
        <v>201</v>
      </c>
      <c r="H54" s="3" t="s">
        <v>208</v>
      </c>
      <c r="I54" s="3" t="s">
        <v>206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200"/>
      <c r="C55" s="3"/>
      <c r="D55" s="12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200"/>
      <c r="C56" s="3"/>
      <c r="D56" s="12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200"/>
      <c r="C57" s="3"/>
      <c r="D57" s="12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200"/>
      <c r="C58" s="3"/>
      <c r="D58" s="12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200"/>
      <c r="C59" s="3"/>
      <c r="D59" s="12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200"/>
      <c r="C60" s="3"/>
      <c r="D60" s="12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200"/>
      <c r="C61" s="3"/>
      <c r="D61" s="12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200"/>
      <c r="C62" s="3"/>
      <c r="D62" s="12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200"/>
      <c r="C63" s="3"/>
      <c r="D63" s="12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200"/>
      <c r="C64" s="3"/>
      <c r="D64" s="12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200"/>
      <c r="C65" s="3"/>
      <c r="D65" s="12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200"/>
      <c r="C66" s="3"/>
      <c r="D66" s="12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200"/>
      <c r="C67" s="3"/>
      <c r="D67" s="12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200"/>
      <c r="C68" s="3"/>
      <c r="D68" s="129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200"/>
      <c r="C69" s="3"/>
      <c r="D69" s="129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200"/>
      <c r="C70" s="3"/>
      <c r="D70" s="12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200"/>
      <c r="C71" s="3"/>
      <c r="D71" s="12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200"/>
      <c r="C72" s="3"/>
      <c r="D72" s="12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200"/>
      <c r="C73" s="3"/>
      <c r="D73" s="12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200"/>
      <c r="C74" s="3"/>
      <c r="D74" s="12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200"/>
      <c r="C75" s="3"/>
      <c r="D75" s="12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200"/>
      <c r="C76" s="3"/>
      <c r="D76" s="129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200"/>
      <c r="C77" s="3"/>
      <c r="D77" s="129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200"/>
      <c r="C78" s="3"/>
      <c r="D78" s="12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200"/>
      <c r="C79" s="3"/>
      <c r="D79" s="12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200"/>
      <c r="C80" s="3"/>
      <c r="D80" s="129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200"/>
      <c r="C81" s="3"/>
      <c r="D81" s="129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200"/>
      <c r="C82" s="3"/>
      <c r="D82" s="129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200"/>
      <c r="C83" s="3"/>
      <c r="D83" s="129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200"/>
      <c r="C84" s="3"/>
      <c r="D84" s="129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200"/>
      <c r="C85" s="3"/>
      <c r="D85" s="129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200"/>
      <c r="C86" s="3"/>
      <c r="D86" s="129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200"/>
      <c r="C87" s="3"/>
      <c r="D87" s="129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200"/>
      <c r="C88" s="3"/>
      <c r="D88" s="129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200"/>
      <c r="C89" s="3"/>
      <c r="D89" s="129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200"/>
      <c r="C90" s="3"/>
      <c r="D90" s="129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200"/>
      <c r="C91" s="3"/>
      <c r="D91" s="129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200"/>
      <c r="C92" s="3"/>
      <c r="D92" s="129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200"/>
      <c r="C93" s="3"/>
      <c r="D93" s="129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200"/>
      <c r="C94" s="3"/>
      <c r="D94" s="129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200"/>
      <c r="C95" s="3"/>
      <c r="D95" s="129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200"/>
      <c r="C96" s="3"/>
      <c r="D96" s="129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200"/>
      <c r="C97" s="3"/>
      <c r="D97" s="129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200"/>
      <c r="C98" s="3"/>
      <c r="D98" s="129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200"/>
      <c r="C99" s="3"/>
      <c r="D99" s="129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200"/>
      <c r="C100" s="3"/>
      <c r="D100" s="129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200"/>
      <c r="C101" s="3"/>
      <c r="D101" s="129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200"/>
      <c r="C102" s="3"/>
      <c r="D102" s="129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200"/>
      <c r="C103" s="3"/>
      <c r="D103" s="129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200"/>
      <c r="C104" s="3"/>
      <c r="D104" s="129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200"/>
      <c r="C105" s="3"/>
      <c r="D105" s="129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200"/>
      <c r="C106" s="3"/>
      <c r="D106" s="129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200"/>
      <c r="C107" s="3"/>
      <c r="D107" s="129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200"/>
      <c r="C108" s="3"/>
      <c r="D108" s="129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200"/>
      <c r="C109" s="3"/>
      <c r="D109" s="129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200"/>
      <c r="C110" s="3"/>
      <c r="D110" s="129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200"/>
      <c r="C111" s="3"/>
      <c r="D111" s="129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200"/>
      <c r="C112" s="3"/>
      <c r="D112" s="129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200"/>
      <c r="C113" s="3"/>
      <c r="D113" s="129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200"/>
      <c r="C114" s="3"/>
      <c r="D114" s="129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200"/>
      <c r="C115" s="3"/>
      <c r="D115" s="12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200"/>
      <c r="C116" s="3"/>
      <c r="D116" s="129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200"/>
      <c r="C117" s="3"/>
      <c r="D117" s="129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200"/>
      <c r="C118" s="3"/>
      <c r="D118" s="129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200"/>
      <c r="C119" s="3"/>
      <c r="D119" s="12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200"/>
      <c r="C120" s="3"/>
      <c r="D120" s="12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200"/>
      <c r="C121" s="3"/>
      <c r="D121" s="12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200"/>
      <c r="C122" s="3"/>
      <c r="D122" s="129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200"/>
      <c r="C123" s="3"/>
      <c r="D123" s="129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200"/>
      <c r="C124" s="3"/>
      <c r="D124" s="129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200"/>
      <c r="C125" s="3"/>
      <c r="D125" s="129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200"/>
      <c r="C126" s="3"/>
      <c r="D126" s="129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200"/>
      <c r="C127" s="3"/>
      <c r="D127" s="129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200"/>
      <c r="C128" s="3"/>
      <c r="D128" s="129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200"/>
      <c r="C129" s="3"/>
      <c r="D129" s="129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200"/>
      <c r="C130" s="3"/>
      <c r="D130" s="129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200"/>
      <c r="C131" s="3"/>
      <c r="D131" s="129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200"/>
      <c r="C132" s="3"/>
      <c r="D132" s="129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200"/>
      <c r="C133" s="3"/>
      <c r="D133" s="129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200"/>
      <c r="C134" s="3"/>
      <c r="D134" s="129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200"/>
      <c r="C135" s="3"/>
      <c r="D135" s="129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200"/>
      <c r="C136" s="3"/>
      <c r="D136" s="129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200"/>
      <c r="C137" s="3"/>
      <c r="D137" s="129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200"/>
      <c r="C138" s="3"/>
      <c r="D138" s="129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200"/>
      <c r="C139" s="3"/>
      <c r="D139" s="129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200"/>
      <c r="C140" s="3"/>
      <c r="D140" s="129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200"/>
      <c r="C141" s="3"/>
      <c r="D141" s="129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200"/>
      <c r="C142" s="3"/>
      <c r="D142" s="129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200"/>
      <c r="C143" s="3"/>
      <c r="D143" s="129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200"/>
      <c r="C144" s="3"/>
      <c r="D144" s="129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200"/>
      <c r="C145" s="3"/>
      <c r="D145" s="129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200"/>
      <c r="C146" s="3"/>
      <c r="D146" s="129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200"/>
      <c r="C147" s="3"/>
      <c r="D147" s="129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200"/>
      <c r="C148" s="3"/>
      <c r="D148" s="129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200"/>
      <c r="C149" s="3"/>
      <c r="D149" s="129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200"/>
      <c r="C150" s="3"/>
      <c r="D150" s="129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200"/>
      <c r="C151" s="3"/>
      <c r="D151" s="129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200"/>
      <c r="C152" s="3"/>
      <c r="D152" s="129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200"/>
      <c r="C153" s="3"/>
      <c r="D153" s="12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200"/>
      <c r="C154" s="3"/>
      <c r="D154" s="12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200"/>
      <c r="C155" s="3"/>
      <c r="D155" s="12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200"/>
      <c r="C156" s="3"/>
      <c r="D156" s="12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200"/>
      <c r="C157" s="3"/>
      <c r="D157" s="12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200"/>
      <c r="C158" s="3"/>
      <c r="D158" s="12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200"/>
      <c r="C159" s="3"/>
      <c r="D159" s="12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200"/>
      <c r="C160" s="3"/>
      <c r="D160" s="12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200"/>
      <c r="C161" s="3"/>
      <c r="D161" s="129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200"/>
      <c r="C162" s="3"/>
      <c r="D162" s="129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200"/>
      <c r="C163" s="3"/>
      <c r="D163" s="129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200"/>
      <c r="C164" s="3"/>
      <c r="D164" s="129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200"/>
      <c r="C165" s="3"/>
      <c r="D165" s="129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200"/>
      <c r="C166" s="3"/>
      <c r="D166" s="129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200"/>
      <c r="C167" s="3"/>
      <c r="D167" s="129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200"/>
      <c r="C168" s="3"/>
      <c r="D168" s="129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200"/>
      <c r="C169" s="3"/>
      <c r="D169" s="129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200"/>
      <c r="C170" s="3"/>
      <c r="D170" s="129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200"/>
      <c r="C171" s="3"/>
      <c r="D171" s="129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200"/>
      <c r="C172" s="3"/>
      <c r="D172" s="129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200"/>
      <c r="C173" s="3"/>
      <c r="D173" s="129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200"/>
      <c r="C174" s="3"/>
      <c r="D174" s="129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200"/>
      <c r="C175" s="3"/>
      <c r="D175" s="129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200"/>
      <c r="C176" s="3"/>
      <c r="D176" s="129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200"/>
      <c r="C177" s="3"/>
      <c r="D177" s="129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200"/>
      <c r="C178" s="3"/>
      <c r="D178" s="129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200"/>
      <c r="C179" s="3"/>
      <c r="D179" s="129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200"/>
      <c r="C180" s="3"/>
      <c r="D180" s="129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200"/>
      <c r="C181" s="3"/>
      <c r="D181" s="129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200"/>
      <c r="C182" s="3"/>
      <c r="D182" s="129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200"/>
      <c r="C183" s="3"/>
      <c r="D183" s="129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200"/>
      <c r="C184" s="3"/>
      <c r="D184" s="129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200"/>
      <c r="C185" s="3"/>
      <c r="D185" s="129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200"/>
      <c r="C186" s="3"/>
      <c r="D186" s="129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200"/>
      <c r="C187" s="3"/>
      <c r="D187" s="129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200"/>
      <c r="C188" s="3"/>
      <c r="D188" s="129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200"/>
      <c r="C189" s="3"/>
      <c r="D189" s="129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200"/>
      <c r="C190" s="3"/>
      <c r="D190" s="129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200"/>
      <c r="C191" s="3"/>
      <c r="D191" s="129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200"/>
      <c r="C192" s="3"/>
      <c r="D192" s="129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200"/>
      <c r="C193" s="3"/>
      <c r="D193" s="129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200"/>
      <c r="C194" s="3"/>
      <c r="D194" s="129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200"/>
      <c r="C195" s="3"/>
      <c r="D195" s="129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200"/>
      <c r="C196" s="3"/>
      <c r="D196" s="129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200"/>
      <c r="C197" s="3"/>
      <c r="D197" s="129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200"/>
      <c r="C198" s="3"/>
      <c r="D198" s="129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200"/>
      <c r="C199" s="3"/>
      <c r="D199" s="129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200"/>
      <c r="C200" s="3"/>
      <c r="D200" s="129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200"/>
      <c r="C201" s="3"/>
      <c r="D201" s="129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200"/>
      <c r="C202" s="3"/>
      <c r="D202" s="129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200"/>
      <c r="C203" s="3"/>
      <c r="D203" s="129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200"/>
      <c r="C204" s="3"/>
      <c r="D204" s="129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200"/>
      <c r="C205" s="3"/>
      <c r="D205" s="129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200"/>
      <c r="C206" s="3"/>
      <c r="D206" s="129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200"/>
      <c r="C207" s="3"/>
      <c r="D207" s="129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200"/>
      <c r="C208" s="3"/>
      <c r="D208" s="129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200"/>
      <c r="C209" s="3"/>
      <c r="D209" s="129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200"/>
      <c r="C210" s="3"/>
      <c r="D210" s="129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200"/>
      <c r="C211" s="3"/>
      <c r="D211" s="129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200"/>
      <c r="C212" s="3"/>
      <c r="D212" s="129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200"/>
      <c r="C213" s="3"/>
      <c r="D213" s="129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200"/>
      <c r="C214" s="3"/>
      <c r="D214" s="129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200"/>
      <c r="C215" s="3"/>
      <c r="D215" s="129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200"/>
      <c r="C216" s="3"/>
      <c r="D216" s="129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200"/>
      <c r="C217" s="3"/>
      <c r="D217" s="129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200"/>
      <c r="C218" s="3"/>
      <c r="D218" s="129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200"/>
      <c r="C219" s="3"/>
      <c r="D219" s="129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200"/>
      <c r="C220" s="3"/>
      <c r="D220" s="129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200"/>
      <c r="C221" s="3"/>
      <c r="D221" s="129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200"/>
      <c r="C222" s="3"/>
      <c r="D222" s="129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200"/>
      <c r="C223" s="3"/>
      <c r="D223" s="129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200"/>
      <c r="C224" s="3"/>
      <c r="D224" s="129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200"/>
      <c r="C225" s="3"/>
      <c r="D225" s="129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200"/>
      <c r="C226" s="3"/>
      <c r="D226" s="129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200"/>
      <c r="C227" s="3"/>
      <c r="D227" s="129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200"/>
      <c r="C228" s="3"/>
      <c r="D228" s="129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200"/>
      <c r="C229" s="3"/>
      <c r="D229" s="129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200"/>
      <c r="C230" s="3"/>
      <c r="D230" s="129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200"/>
      <c r="C231" s="3"/>
      <c r="D231" s="129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200"/>
      <c r="C232" s="3"/>
      <c r="D232" s="129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200"/>
      <c r="C233" s="3"/>
      <c r="D233" s="129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200"/>
      <c r="C234" s="3"/>
      <c r="D234" s="129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200"/>
      <c r="C235" s="3"/>
      <c r="D235" s="129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200"/>
      <c r="C236" s="3"/>
      <c r="D236" s="129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200"/>
      <c r="C237" s="3"/>
      <c r="D237" s="129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200"/>
      <c r="C238" s="3"/>
      <c r="D238" s="129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200"/>
      <c r="C239" s="3"/>
      <c r="D239" s="129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200"/>
      <c r="C240" s="3"/>
      <c r="D240" s="129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200"/>
      <c r="C241" s="3"/>
      <c r="D241" s="129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200"/>
      <c r="C242" s="3"/>
      <c r="D242" s="129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200"/>
      <c r="C243" s="3"/>
      <c r="D243" s="129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200"/>
      <c r="C244" s="3"/>
      <c r="D244" s="129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200"/>
      <c r="C245" s="3"/>
      <c r="D245" s="129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200"/>
      <c r="C246" s="3"/>
      <c r="D246" s="129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200"/>
      <c r="C247" s="3"/>
      <c r="D247" s="129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200"/>
      <c r="C248" s="3"/>
      <c r="D248" s="129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200"/>
      <c r="C249" s="3"/>
      <c r="D249" s="129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200"/>
      <c r="C250" s="3"/>
      <c r="D250" s="129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200"/>
      <c r="C251" s="3"/>
      <c r="D251" s="129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200"/>
      <c r="C252" s="3"/>
      <c r="D252" s="129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200"/>
      <c r="C253" s="3"/>
      <c r="D253" s="129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200"/>
      <c r="C254" s="3"/>
      <c r="D254" s="129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200"/>
      <c r="C255" s="3"/>
      <c r="D255" s="129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200"/>
      <c r="C256" s="3"/>
      <c r="D256" s="129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200"/>
      <c r="C257" s="3"/>
      <c r="D257" s="129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200"/>
      <c r="C258" s="3"/>
      <c r="D258" s="129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200"/>
      <c r="C259" s="3"/>
      <c r="D259" s="129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200"/>
      <c r="C260" s="3"/>
      <c r="D260" s="129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200"/>
      <c r="C261" s="3"/>
      <c r="D261" s="129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200"/>
      <c r="C262" s="3"/>
      <c r="D262" s="129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200"/>
      <c r="C263" s="3"/>
      <c r="D263" s="129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200"/>
      <c r="C264" s="3"/>
      <c r="D264" s="12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200"/>
      <c r="C265" s="3"/>
      <c r="D265" s="12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200"/>
      <c r="C266" s="3"/>
      <c r="D266" s="12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200"/>
      <c r="C267" s="3"/>
      <c r="D267" s="12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200"/>
      <c r="C268" s="3"/>
      <c r="D268" s="12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200"/>
      <c r="C269" s="3"/>
      <c r="D269" s="12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200"/>
      <c r="C270" s="3"/>
      <c r="D270" s="12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200"/>
      <c r="C271" s="3"/>
      <c r="D271" s="12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200"/>
      <c r="C272" s="3"/>
      <c r="D272" s="12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200"/>
      <c r="C273" s="3"/>
      <c r="D273" s="12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200"/>
      <c r="C274" s="3"/>
      <c r="D274" s="12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200"/>
      <c r="C275" s="3"/>
      <c r="D275" s="12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200"/>
      <c r="C276" s="3"/>
      <c r="D276" s="12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200"/>
      <c r="C277" s="3"/>
      <c r="D277" s="12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200"/>
      <c r="C278" s="3"/>
      <c r="D278" s="12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200"/>
      <c r="C279" s="3"/>
      <c r="D279" s="12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200"/>
      <c r="C280" s="3"/>
      <c r="D280" s="12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200"/>
      <c r="C281" s="3"/>
      <c r="D281" s="129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200"/>
      <c r="C282" s="3"/>
      <c r="D282" s="129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200"/>
      <c r="C283" s="3"/>
      <c r="D283" s="129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200"/>
      <c r="C284" s="3"/>
      <c r="D284" s="129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200"/>
      <c r="C285" s="3"/>
      <c r="D285" s="129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200"/>
      <c r="C286" s="3"/>
      <c r="D286" s="129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200"/>
      <c r="C287" s="3"/>
      <c r="D287" s="129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200"/>
      <c r="C288" s="3"/>
      <c r="D288" s="129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200"/>
      <c r="C289" s="3"/>
      <c r="D289" s="12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200"/>
      <c r="C290" s="3"/>
      <c r="D290" s="12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200"/>
      <c r="C291" s="3"/>
      <c r="D291" s="12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200"/>
      <c r="C292" s="3"/>
      <c r="D292" s="12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200"/>
      <c r="C293" s="3"/>
      <c r="D293" s="12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200"/>
      <c r="C294" s="3"/>
      <c r="D294" s="12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200"/>
      <c r="C295" s="3"/>
      <c r="D295" s="129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200"/>
      <c r="C296" s="3"/>
      <c r="D296" s="129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200"/>
      <c r="C297" s="3"/>
      <c r="D297" s="129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200"/>
      <c r="C298" s="3"/>
      <c r="D298" s="129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200"/>
      <c r="C299" s="3"/>
      <c r="D299" s="129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200"/>
      <c r="C300" s="3"/>
      <c r="D300" s="129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200"/>
      <c r="C301" s="3"/>
      <c r="D301" s="129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200"/>
      <c r="C302" s="3"/>
      <c r="D302" s="129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200"/>
      <c r="C303" s="3"/>
      <c r="D303" s="129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200"/>
      <c r="C304" s="3"/>
      <c r="D304" s="129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200"/>
      <c r="C305" s="3"/>
      <c r="D305" s="129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200"/>
      <c r="C306" s="3"/>
      <c r="D306" s="129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200"/>
      <c r="C307" s="3"/>
      <c r="D307" s="129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200"/>
      <c r="C308" s="3"/>
      <c r="D308" s="129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200"/>
      <c r="C309" s="3"/>
      <c r="D309" s="129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200"/>
      <c r="C310" s="3"/>
      <c r="D310" s="129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200"/>
      <c r="C311" s="3"/>
      <c r="D311" s="129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200"/>
      <c r="C312" s="3"/>
      <c r="D312" s="129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200"/>
      <c r="C313" s="3"/>
      <c r="D313" s="12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200"/>
      <c r="C314" s="3"/>
      <c r="D314" s="129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200"/>
      <c r="C315" s="3"/>
      <c r="D315" s="129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200"/>
      <c r="C316" s="3"/>
      <c r="D316" s="129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200"/>
      <c r="C317" s="3"/>
      <c r="D317" s="129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200"/>
      <c r="C318" s="3"/>
      <c r="D318" s="129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200"/>
      <c r="C319" s="3"/>
      <c r="D319" s="129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200"/>
      <c r="C320" s="3"/>
      <c r="D320" s="129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200"/>
      <c r="C321" s="3"/>
      <c r="D321" s="129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200"/>
      <c r="C322" s="3"/>
      <c r="D322" s="129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200"/>
      <c r="C323" s="3"/>
      <c r="D323" s="129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200"/>
      <c r="C324" s="3"/>
      <c r="D324" s="129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200"/>
      <c r="C325" s="3"/>
      <c r="D325" s="129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200"/>
      <c r="C326" s="3"/>
      <c r="D326" s="129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200"/>
      <c r="C327" s="3"/>
      <c r="D327" s="129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200"/>
      <c r="C328" s="3"/>
      <c r="D328" s="129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200"/>
      <c r="C329" s="3"/>
      <c r="D329" s="129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200"/>
      <c r="C330" s="3"/>
      <c r="D330" s="129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200"/>
      <c r="C331" s="3"/>
      <c r="D331" s="129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200"/>
      <c r="C332" s="3"/>
      <c r="D332" s="129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200"/>
      <c r="C333" s="3"/>
      <c r="D333" s="129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200"/>
      <c r="C334" s="3"/>
      <c r="D334" s="129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200"/>
      <c r="C335" s="3"/>
      <c r="D335" s="129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200"/>
      <c r="C336" s="3"/>
      <c r="D336" s="129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200"/>
      <c r="C337" s="3"/>
      <c r="D337" s="129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200"/>
      <c r="C338" s="3"/>
      <c r="D338" s="129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200"/>
      <c r="C339" s="3"/>
      <c r="D339" s="129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200"/>
      <c r="C340" s="3"/>
      <c r="D340" s="129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200"/>
      <c r="C341" s="3"/>
      <c r="D341" s="129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200"/>
      <c r="C342" s="3"/>
      <c r="D342" s="129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200"/>
      <c r="C343" s="3"/>
      <c r="D343" s="129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200"/>
      <c r="C344" s="3"/>
      <c r="D344" s="129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200"/>
      <c r="C345" s="3"/>
      <c r="D345" s="129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200"/>
      <c r="C346" s="3"/>
      <c r="D346" s="129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200"/>
      <c r="C347" s="3"/>
      <c r="D347" s="129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200"/>
      <c r="C348" s="3"/>
      <c r="D348" s="129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200"/>
      <c r="C349" s="3"/>
      <c r="D349" s="129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200"/>
      <c r="C350" s="3"/>
      <c r="D350" s="129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200"/>
      <c r="C351" s="3"/>
      <c r="D351" s="129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200"/>
      <c r="C352" s="3"/>
      <c r="D352" s="129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200"/>
      <c r="C353" s="3"/>
      <c r="D353" s="129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200"/>
      <c r="C354" s="3"/>
      <c r="D354" s="129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200"/>
      <c r="C355" s="3"/>
      <c r="D355" s="129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200"/>
      <c r="C356" s="3"/>
      <c r="D356" s="129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200"/>
      <c r="C357" s="3"/>
      <c r="D357" s="129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200"/>
      <c r="C358" s="3"/>
      <c r="D358" s="129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200"/>
      <c r="C359" s="3"/>
      <c r="D359" s="129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200"/>
      <c r="C360" s="3"/>
      <c r="D360" s="129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200"/>
      <c r="C361" s="3"/>
      <c r="D361" s="129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200"/>
      <c r="C362" s="3"/>
      <c r="D362" s="129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200"/>
      <c r="C363" s="3"/>
      <c r="D363" s="129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200"/>
      <c r="C364" s="3"/>
      <c r="D364" s="129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200"/>
      <c r="C365" s="3"/>
      <c r="D365" s="129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200"/>
      <c r="C366" s="3"/>
      <c r="D366" s="129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200"/>
      <c r="C367" s="3"/>
      <c r="D367" s="129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200"/>
      <c r="C368" s="3"/>
      <c r="D368" s="129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200"/>
      <c r="C369" s="3"/>
      <c r="D369" s="129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200"/>
      <c r="C370" s="3"/>
      <c r="D370" s="129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200"/>
      <c r="C371" s="3"/>
      <c r="D371" s="129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200"/>
      <c r="C372" s="3"/>
      <c r="D372" s="129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200"/>
      <c r="C373" s="3"/>
      <c r="D373" s="129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200"/>
      <c r="C374" s="3"/>
      <c r="D374" s="129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200"/>
      <c r="C375" s="3"/>
      <c r="D375" s="129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200"/>
      <c r="C376" s="3"/>
      <c r="D376" s="129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200"/>
      <c r="C377" s="3"/>
      <c r="D377" s="129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200"/>
      <c r="C378" s="3"/>
      <c r="D378" s="129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200"/>
      <c r="C379" s="3"/>
      <c r="D379" s="129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200"/>
      <c r="C380" s="3"/>
      <c r="D380" s="129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200"/>
      <c r="C381" s="3"/>
      <c r="D381" s="129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200"/>
      <c r="C382" s="3"/>
      <c r="D382" s="129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200"/>
      <c r="C383" s="3"/>
      <c r="D383" s="129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200"/>
      <c r="C384" s="3"/>
      <c r="D384" s="129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200"/>
      <c r="C385" s="3"/>
      <c r="D385" s="129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200"/>
      <c r="C386" s="3"/>
      <c r="D386" s="129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200"/>
      <c r="C387" s="3"/>
      <c r="D387" s="129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200"/>
      <c r="C388" s="3"/>
      <c r="D388" s="129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200"/>
      <c r="C389" s="3"/>
      <c r="D389" s="129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200"/>
      <c r="C390" s="3"/>
      <c r="D390" s="129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200"/>
      <c r="C391" s="3"/>
      <c r="D391" s="129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200"/>
      <c r="C392" s="3"/>
      <c r="D392" s="129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200"/>
      <c r="C393" s="3"/>
      <c r="D393" s="129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200"/>
      <c r="C394" s="3"/>
      <c r="D394" s="129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200"/>
      <c r="C395" s="3"/>
      <c r="D395" s="129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200"/>
      <c r="C396" s="3"/>
      <c r="D396" s="129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200"/>
      <c r="C397" s="3"/>
      <c r="D397" s="129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200"/>
      <c r="C398" s="3"/>
      <c r="D398" s="129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200"/>
      <c r="C399" s="3"/>
      <c r="D399" s="129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200"/>
      <c r="C400" s="3"/>
      <c r="D400" s="129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200"/>
      <c r="C401" s="3"/>
      <c r="D401" s="129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200"/>
      <c r="C402" s="3"/>
      <c r="D402" s="129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200"/>
      <c r="C403" s="3"/>
      <c r="D403" s="129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200"/>
      <c r="C404" s="3"/>
      <c r="D404" s="129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200"/>
      <c r="C405" s="3"/>
      <c r="D405" s="129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200"/>
      <c r="C406" s="3"/>
      <c r="D406" s="129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200"/>
      <c r="C407" s="3"/>
      <c r="D407" s="129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200"/>
      <c r="C408" s="3"/>
      <c r="D408" s="129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200"/>
      <c r="C409" s="3"/>
      <c r="D409" s="129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200"/>
      <c r="C410" s="3"/>
      <c r="D410" s="129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200"/>
      <c r="C411" s="3"/>
      <c r="D411" s="129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200"/>
      <c r="C412" s="3"/>
      <c r="D412" s="129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200"/>
      <c r="C413" s="3"/>
      <c r="D413" s="129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200"/>
      <c r="C414" s="3"/>
      <c r="D414" s="129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200"/>
      <c r="C415" s="3"/>
      <c r="D415" s="129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200"/>
      <c r="C416" s="3"/>
      <c r="D416" s="129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200"/>
      <c r="C417" s="3"/>
      <c r="D417" s="129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200"/>
      <c r="C418" s="3"/>
      <c r="D418" s="129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200"/>
      <c r="C419" s="3"/>
      <c r="D419" s="129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200"/>
      <c r="C420" s="3"/>
      <c r="D420" s="129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200"/>
      <c r="C421" s="3"/>
      <c r="D421" s="129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200"/>
      <c r="C422" s="3"/>
      <c r="D422" s="129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200"/>
      <c r="C423" s="3"/>
      <c r="D423" s="129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200"/>
      <c r="C424" s="3"/>
      <c r="D424" s="129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200"/>
      <c r="C425" s="3"/>
      <c r="D425" s="129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200"/>
      <c r="C426" s="3"/>
      <c r="D426" s="129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200"/>
      <c r="C427" s="3"/>
      <c r="D427" s="129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200"/>
      <c r="C428" s="3"/>
      <c r="D428" s="129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200"/>
      <c r="C429" s="3"/>
      <c r="D429" s="129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200"/>
      <c r="C430" s="3"/>
      <c r="D430" s="129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200"/>
      <c r="C431" s="3"/>
      <c r="D431" s="129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200"/>
      <c r="C432" s="3"/>
      <c r="D432" s="129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200"/>
      <c r="C433" s="3"/>
      <c r="D433" s="129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200"/>
      <c r="C434" s="3"/>
      <c r="D434" s="129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200"/>
      <c r="C435" s="3"/>
      <c r="D435" s="129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200"/>
      <c r="C436" s="3"/>
      <c r="D436" s="129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200"/>
      <c r="C437" s="3"/>
      <c r="D437" s="129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200"/>
      <c r="C438" s="3"/>
      <c r="D438" s="129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200"/>
      <c r="C439" s="3"/>
      <c r="D439" s="129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200"/>
      <c r="C440" s="3"/>
      <c r="D440" s="129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200"/>
      <c r="C441" s="3"/>
      <c r="D441" s="129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200"/>
      <c r="C442" s="3"/>
      <c r="D442" s="129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200"/>
      <c r="C443" s="3"/>
      <c r="D443" s="129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200"/>
      <c r="C444" s="3"/>
      <c r="D444" s="129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200"/>
      <c r="C445" s="3"/>
      <c r="D445" s="129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200"/>
      <c r="C446" s="3"/>
      <c r="D446" s="129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200"/>
      <c r="C447" s="3"/>
      <c r="D447" s="129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200"/>
      <c r="C448" s="3"/>
      <c r="D448" s="129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200"/>
      <c r="C449" s="3"/>
      <c r="D449" s="129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200"/>
      <c r="C450" s="3"/>
      <c r="D450" s="129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200"/>
      <c r="C451" s="3"/>
      <c r="D451" s="129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200"/>
      <c r="C452" s="3"/>
      <c r="D452" s="129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200"/>
      <c r="C453" s="3"/>
      <c r="D453" s="129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200"/>
      <c r="C454" s="3"/>
      <c r="D454" s="129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200"/>
      <c r="C455" s="3"/>
      <c r="D455" s="129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200"/>
      <c r="C456" s="3"/>
      <c r="D456" s="129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200"/>
      <c r="C457" s="3"/>
      <c r="D457" s="129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200"/>
      <c r="C458" s="3"/>
      <c r="D458" s="129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200"/>
      <c r="C459" s="3"/>
      <c r="D459" s="129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200"/>
      <c r="C460" s="3"/>
      <c r="D460" s="129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200"/>
      <c r="C461" s="3"/>
      <c r="D461" s="129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200"/>
      <c r="C462" s="3"/>
      <c r="D462" s="129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200"/>
      <c r="C463" s="3"/>
      <c r="D463" s="129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200"/>
      <c r="C464" s="3"/>
      <c r="D464" s="129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200"/>
      <c r="C465" s="3"/>
      <c r="D465" s="129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200"/>
      <c r="C466" s="3"/>
      <c r="D466" s="129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200"/>
      <c r="C467" s="3"/>
      <c r="D467" s="129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200"/>
      <c r="C468" s="3"/>
      <c r="D468" s="129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200"/>
      <c r="C469" s="3"/>
      <c r="D469" s="129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200"/>
      <c r="C470" s="3"/>
      <c r="D470" s="129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200"/>
      <c r="C471" s="3"/>
      <c r="D471" s="129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200"/>
      <c r="C472" s="3"/>
      <c r="D472" s="129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200"/>
      <c r="C473" s="3"/>
      <c r="D473" s="129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200"/>
      <c r="C474" s="3"/>
      <c r="D474" s="129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200"/>
      <c r="C475" s="3"/>
      <c r="D475" s="129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200"/>
      <c r="C476" s="3"/>
      <c r="D476" s="129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200"/>
      <c r="C477" s="3"/>
      <c r="D477" s="129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200"/>
      <c r="C478" s="3"/>
      <c r="D478" s="129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200"/>
      <c r="C479" s="3"/>
      <c r="D479" s="129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200"/>
      <c r="C480" s="3"/>
      <c r="D480" s="129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200"/>
      <c r="C481" s="3"/>
      <c r="D481" s="129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200"/>
      <c r="C482" s="3"/>
      <c r="D482" s="129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200"/>
      <c r="C483" s="3"/>
      <c r="D483" s="129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200"/>
      <c r="C484" s="3"/>
      <c r="D484" s="129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200"/>
      <c r="C485" s="3"/>
      <c r="D485" s="129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200"/>
      <c r="C486" s="3"/>
      <c r="D486" s="129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200"/>
      <c r="C487" s="3"/>
      <c r="D487" s="129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200"/>
      <c r="C488" s="3"/>
      <c r="D488" s="129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200"/>
      <c r="C489" s="3"/>
      <c r="D489" s="129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200"/>
      <c r="C490" s="3"/>
      <c r="D490" s="129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200"/>
      <c r="C491" s="3"/>
      <c r="D491" s="129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200"/>
      <c r="C492" s="3"/>
      <c r="D492" s="129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200"/>
      <c r="C493" s="3"/>
      <c r="D493" s="129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200"/>
      <c r="C494" s="3"/>
      <c r="D494" s="129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200"/>
      <c r="C495" s="3"/>
      <c r="D495" s="129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200"/>
      <c r="C496" s="3"/>
      <c r="D496" s="129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200"/>
      <c r="C497" s="3"/>
      <c r="D497" s="129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200"/>
      <c r="C498" s="3"/>
      <c r="D498" s="129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200"/>
      <c r="C499" s="3"/>
      <c r="D499" s="129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200"/>
      <c r="C500" s="3"/>
      <c r="D500" s="129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200"/>
      <c r="C501" s="3"/>
      <c r="D501" s="129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200"/>
      <c r="C502" s="3"/>
      <c r="D502" s="129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200"/>
      <c r="C503" s="3"/>
      <c r="D503" s="129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200"/>
      <c r="C504" s="3"/>
      <c r="D504" s="129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200"/>
      <c r="C505" s="3"/>
      <c r="D505" s="129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200"/>
      <c r="C506" s="3"/>
      <c r="D506" s="129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200"/>
      <c r="C507" s="3"/>
      <c r="D507" s="129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200"/>
      <c r="C508" s="3"/>
      <c r="D508" s="129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200"/>
      <c r="C509" s="3"/>
      <c r="D509" s="129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200"/>
      <c r="C510" s="3"/>
      <c r="D510" s="129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200"/>
      <c r="C511" s="3"/>
      <c r="D511" s="129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200"/>
      <c r="C512" s="3"/>
      <c r="D512" s="129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200"/>
      <c r="C513" s="3"/>
      <c r="D513" s="129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200"/>
      <c r="C514" s="3"/>
      <c r="D514" s="129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200"/>
      <c r="C515" s="3"/>
      <c r="D515" s="129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200"/>
      <c r="C516" s="3"/>
      <c r="D516" s="129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200"/>
      <c r="C517" s="3"/>
      <c r="D517" s="129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200"/>
      <c r="C518" s="3"/>
      <c r="D518" s="129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200"/>
      <c r="C519" s="3"/>
      <c r="D519" s="129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200"/>
      <c r="C520" s="3"/>
      <c r="D520" s="129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200"/>
      <c r="C521" s="3"/>
      <c r="D521" s="129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200"/>
      <c r="C522" s="3"/>
      <c r="D522" s="129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200"/>
      <c r="C523" s="3"/>
      <c r="D523" s="129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200"/>
      <c r="C524" s="3"/>
      <c r="D524" s="129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200"/>
      <c r="C525" s="3"/>
      <c r="D525" s="129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200"/>
      <c r="C526" s="3"/>
      <c r="D526" s="129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200"/>
      <c r="C527" s="3"/>
      <c r="D527" s="129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200"/>
      <c r="C528" s="3"/>
      <c r="D528" s="129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200"/>
      <c r="C529" s="3"/>
      <c r="D529" s="129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200"/>
      <c r="C530" s="3"/>
      <c r="D530" s="129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200"/>
      <c r="C531" s="3"/>
      <c r="D531" s="129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200"/>
      <c r="C532" s="3"/>
      <c r="D532" s="129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200"/>
      <c r="C533" s="3"/>
      <c r="D533" s="129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200"/>
      <c r="C534" s="3"/>
      <c r="D534" s="129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200"/>
      <c r="C535" s="3"/>
      <c r="D535" s="129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200"/>
      <c r="C536" s="3"/>
      <c r="D536" s="129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200"/>
      <c r="C537" s="3"/>
      <c r="D537" s="129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200"/>
      <c r="C538" s="3"/>
      <c r="D538" s="129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200"/>
      <c r="C539" s="3"/>
      <c r="D539" s="129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200"/>
      <c r="C540" s="3"/>
      <c r="D540" s="129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200"/>
      <c r="C541" s="3"/>
      <c r="D541" s="129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200"/>
      <c r="C542" s="3"/>
      <c r="D542" s="129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200"/>
      <c r="C543" s="3"/>
      <c r="D543" s="129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200"/>
      <c r="C544" s="3"/>
      <c r="D544" s="129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200"/>
      <c r="C545" s="3"/>
      <c r="D545" s="129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200"/>
      <c r="C546" s="3"/>
      <c r="D546" s="129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200"/>
      <c r="C547" s="3"/>
      <c r="D547" s="129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200"/>
      <c r="C548" s="3"/>
      <c r="D548" s="129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200"/>
      <c r="C549" s="3"/>
      <c r="D549" s="129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200"/>
      <c r="C550" s="3"/>
      <c r="D550" s="129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200"/>
      <c r="C551" s="3"/>
      <c r="D551" s="129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200"/>
      <c r="C552" s="3"/>
      <c r="D552" s="129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200"/>
      <c r="C553" s="3"/>
      <c r="D553" s="129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200"/>
      <c r="C554" s="3"/>
      <c r="D554" s="129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200"/>
      <c r="C555" s="3"/>
      <c r="D555" s="129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200"/>
      <c r="C556" s="3"/>
      <c r="D556" s="129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200"/>
      <c r="C557" s="3"/>
      <c r="D557" s="129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200"/>
      <c r="C558" s="3"/>
      <c r="D558" s="129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200"/>
      <c r="C559" s="3"/>
      <c r="D559" s="129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200"/>
      <c r="C560" s="3"/>
      <c r="D560" s="129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200"/>
      <c r="C561" s="3"/>
      <c r="D561" s="129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200"/>
      <c r="C562" s="3"/>
      <c r="D562" s="129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200"/>
      <c r="C563" s="3"/>
      <c r="D563" s="129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200"/>
      <c r="C564" s="3"/>
      <c r="D564" s="129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200"/>
      <c r="C565" s="3"/>
      <c r="D565" s="129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200"/>
      <c r="C566" s="3"/>
      <c r="D566" s="129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200"/>
      <c r="C567" s="3"/>
      <c r="D567" s="129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200"/>
      <c r="C568" s="3"/>
      <c r="D568" s="129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200"/>
      <c r="C569" s="3"/>
      <c r="D569" s="129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200"/>
      <c r="C570" s="3"/>
      <c r="D570" s="129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200"/>
      <c r="C571" s="3"/>
      <c r="D571" s="129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200"/>
      <c r="C572" s="3"/>
      <c r="D572" s="129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200"/>
      <c r="C573" s="3"/>
      <c r="D573" s="129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200"/>
      <c r="C574" s="3"/>
      <c r="D574" s="129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200"/>
      <c r="C575" s="3"/>
      <c r="D575" s="129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200"/>
      <c r="C576" s="3"/>
      <c r="D576" s="129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200"/>
      <c r="C577" s="3"/>
      <c r="D577" s="129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200"/>
      <c r="C578" s="3"/>
      <c r="D578" s="129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200"/>
      <c r="C579" s="3"/>
      <c r="D579" s="129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200"/>
      <c r="C580" s="3"/>
      <c r="D580" s="129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200"/>
      <c r="C581" s="3"/>
      <c r="D581" s="129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200"/>
      <c r="C582" s="3"/>
      <c r="D582" s="129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200"/>
      <c r="C583" s="3"/>
      <c r="D583" s="129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200"/>
      <c r="C584" s="3"/>
      <c r="D584" s="129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200"/>
      <c r="C585" s="3"/>
      <c r="D585" s="129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200"/>
      <c r="C586" s="3"/>
      <c r="D586" s="129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200"/>
      <c r="C587" s="3"/>
      <c r="D587" s="129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200"/>
      <c r="C588" s="3"/>
      <c r="D588" s="129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200"/>
      <c r="C589" s="3"/>
      <c r="D589" s="129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200"/>
      <c r="C590" s="3"/>
      <c r="D590" s="129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200"/>
      <c r="C591" s="3"/>
      <c r="D591" s="129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200"/>
      <c r="C592" s="3"/>
      <c r="D592" s="129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200"/>
      <c r="C593" s="3"/>
      <c r="D593" s="129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200"/>
      <c r="C594" s="3"/>
      <c r="D594" s="129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200"/>
      <c r="C595" s="3"/>
      <c r="D595" s="129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200"/>
      <c r="C596" s="3"/>
      <c r="D596" s="129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200"/>
      <c r="C597" s="3"/>
      <c r="D597" s="129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200"/>
      <c r="C598" s="3"/>
      <c r="D598" s="129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200"/>
      <c r="C599" s="3"/>
      <c r="D599" s="129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200"/>
      <c r="C600" s="3"/>
      <c r="D600" s="129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200"/>
      <c r="C601" s="3"/>
      <c r="D601" s="129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200"/>
      <c r="C602" s="3"/>
      <c r="D602" s="129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200"/>
      <c r="C603" s="3"/>
      <c r="D603" s="129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200"/>
      <c r="C604" s="3"/>
      <c r="D604" s="129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200"/>
      <c r="C605" s="3"/>
      <c r="D605" s="129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200"/>
      <c r="C606" s="3"/>
      <c r="D606" s="129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200"/>
      <c r="C607" s="3"/>
      <c r="D607" s="129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200"/>
      <c r="C608" s="3"/>
      <c r="D608" s="129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200"/>
      <c r="C609" s="3"/>
      <c r="D609" s="129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200"/>
      <c r="C610" s="3"/>
      <c r="D610" s="129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200"/>
      <c r="C611" s="3"/>
      <c r="D611" s="129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200"/>
      <c r="C612" s="3"/>
      <c r="D612" s="129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200"/>
      <c r="C613" s="3"/>
      <c r="D613" s="129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200"/>
      <c r="C614" s="3"/>
      <c r="D614" s="129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200"/>
      <c r="C615" s="3"/>
      <c r="D615" s="129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200"/>
      <c r="C616" s="3"/>
      <c r="D616" s="129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200"/>
      <c r="C617" s="3"/>
      <c r="D617" s="129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200"/>
      <c r="C618" s="3"/>
      <c r="D618" s="129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200"/>
      <c r="C619" s="3"/>
      <c r="D619" s="129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200"/>
      <c r="C620" s="3"/>
      <c r="D620" s="129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200"/>
      <c r="C621" s="3"/>
      <c r="D621" s="129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200"/>
      <c r="C622" s="3"/>
      <c r="D622" s="129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200"/>
      <c r="C623" s="3"/>
      <c r="D623" s="129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200"/>
      <c r="C624" s="3"/>
      <c r="D624" s="129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200"/>
      <c r="C625" s="3"/>
      <c r="D625" s="129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200"/>
      <c r="C626" s="3"/>
      <c r="D626" s="129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200"/>
      <c r="C627" s="3"/>
      <c r="D627" s="129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200"/>
      <c r="C628" s="3"/>
      <c r="D628" s="129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200"/>
      <c r="C629" s="3"/>
      <c r="D629" s="129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200"/>
      <c r="C630" s="3"/>
      <c r="D630" s="129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200"/>
      <c r="C631" s="3"/>
      <c r="D631" s="129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200"/>
      <c r="C632" s="3"/>
      <c r="D632" s="129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200"/>
      <c r="C633" s="3"/>
      <c r="D633" s="129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200"/>
      <c r="C634" s="3"/>
      <c r="D634" s="129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200"/>
      <c r="C635" s="3"/>
      <c r="D635" s="129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200"/>
      <c r="C636" s="3"/>
      <c r="D636" s="129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200"/>
      <c r="C637" s="3"/>
      <c r="D637" s="129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200"/>
      <c r="C638" s="3"/>
      <c r="D638" s="129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200"/>
      <c r="C639" s="3"/>
      <c r="D639" s="129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200"/>
      <c r="C640" s="3"/>
      <c r="D640" s="129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200"/>
      <c r="C641" s="3"/>
      <c r="D641" s="129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200"/>
      <c r="C642" s="3"/>
      <c r="D642" s="129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200"/>
      <c r="C643" s="3"/>
      <c r="D643" s="129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200"/>
      <c r="C644" s="3"/>
      <c r="D644" s="129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200"/>
      <c r="C645" s="3"/>
      <c r="D645" s="129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200"/>
      <c r="C646" s="3"/>
      <c r="D646" s="129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200"/>
      <c r="C647" s="3"/>
      <c r="D647" s="129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200"/>
      <c r="C648" s="3"/>
      <c r="D648" s="129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200"/>
      <c r="C649" s="3"/>
      <c r="D649" s="129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200"/>
      <c r="C650" s="3"/>
      <c r="D650" s="129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200"/>
      <c r="C651" s="3"/>
      <c r="D651" s="129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200"/>
      <c r="C652" s="3"/>
      <c r="D652" s="129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200"/>
      <c r="C653" s="3"/>
      <c r="D653" s="129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200"/>
      <c r="C654" s="3"/>
      <c r="D654" s="129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200"/>
      <c r="C655" s="3"/>
      <c r="D655" s="129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200"/>
      <c r="C656" s="3"/>
      <c r="D656" s="129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200"/>
      <c r="C657" s="3"/>
      <c r="D657" s="129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200"/>
      <c r="C658" s="3"/>
      <c r="D658" s="129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200"/>
      <c r="C659" s="3"/>
      <c r="D659" s="129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200"/>
      <c r="C660" s="3"/>
      <c r="D660" s="129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200"/>
      <c r="C661" s="3"/>
      <c r="D661" s="129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200"/>
      <c r="C662" s="3"/>
      <c r="D662" s="129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200"/>
      <c r="C663" s="3"/>
      <c r="D663" s="129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200"/>
      <c r="C664" s="3"/>
      <c r="D664" s="129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200"/>
      <c r="C665" s="3"/>
      <c r="D665" s="129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200"/>
      <c r="C666" s="3"/>
      <c r="D666" s="129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200"/>
      <c r="C667" s="3"/>
      <c r="D667" s="129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200"/>
      <c r="C668" s="3"/>
      <c r="D668" s="129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200"/>
      <c r="C669" s="3"/>
      <c r="D669" s="129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200"/>
      <c r="C670" s="3"/>
      <c r="D670" s="129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200"/>
      <c r="C671" s="3"/>
      <c r="D671" s="129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200"/>
      <c r="C672" s="3"/>
      <c r="D672" s="129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200"/>
      <c r="C673" s="3"/>
      <c r="D673" s="129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200"/>
      <c r="C674" s="3"/>
      <c r="D674" s="129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200"/>
      <c r="C675" s="3"/>
      <c r="D675" s="129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200"/>
      <c r="C676" s="3"/>
      <c r="D676" s="129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200"/>
      <c r="C677" s="3"/>
      <c r="D677" s="129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200"/>
      <c r="C678" s="3"/>
      <c r="D678" s="129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200"/>
      <c r="C679" s="3"/>
      <c r="D679" s="129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200"/>
      <c r="C680" s="3"/>
      <c r="D680" s="129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200"/>
      <c r="C681" s="3"/>
      <c r="D681" s="129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200"/>
      <c r="C682" s="3"/>
      <c r="D682" s="129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200"/>
      <c r="C683" s="3"/>
      <c r="D683" s="129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200"/>
      <c r="C684" s="3"/>
      <c r="D684" s="129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200"/>
      <c r="C685" s="3"/>
      <c r="D685" s="129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200"/>
      <c r="C686" s="3"/>
      <c r="D686" s="129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200"/>
      <c r="C687" s="3"/>
      <c r="D687" s="129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200"/>
      <c r="C688" s="3"/>
      <c r="D688" s="129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200"/>
      <c r="C689" s="3"/>
      <c r="D689" s="129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200"/>
      <c r="C690" s="3"/>
      <c r="D690" s="129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200"/>
      <c r="C691" s="3"/>
      <c r="D691" s="129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200"/>
      <c r="C692" s="3"/>
      <c r="D692" s="129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200"/>
      <c r="C693" s="3"/>
      <c r="D693" s="129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200"/>
      <c r="C694" s="3"/>
      <c r="D694" s="129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200"/>
      <c r="C695" s="3"/>
      <c r="D695" s="129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200"/>
      <c r="C696" s="3"/>
      <c r="D696" s="129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200"/>
      <c r="C697" s="3"/>
      <c r="D697" s="129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200"/>
      <c r="C698" s="3"/>
      <c r="D698" s="129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200"/>
      <c r="C699" s="3"/>
      <c r="D699" s="129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200"/>
      <c r="C700" s="3"/>
      <c r="D700" s="129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200"/>
      <c r="C701" s="3"/>
      <c r="D701" s="129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200"/>
      <c r="C702" s="3"/>
      <c r="D702" s="129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200"/>
      <c r="C703" s="3"/>
      <c r="D703" s="129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200"/>
      <c r="C704" s="3"/>
      <c r="D704" s="129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200"/>
      <c r="C705" s="3"/>
      <c r="D705" s="129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200"/>
      <c r="C706" s="3"/>
      <c r="D706" s="129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200"/>
      <c r="C707" s="3"/>
      <c r="D707" s="129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200"/>
      <c r="C708" s="3"/>
      <c r="D708" s="129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200"/>
      <c r="C709" s="3"/>
      <c r="D709" s="129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200"/>
      <c r="C710" s="3"/>
      <c r="D710" s="129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200"/>
      <c r="C711" s="3"/>
      <c r="D711" s="129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200"/>
      <c r="C712" s="3"/>
      <c r="D712" s="129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200"/>
      <c r="C713" s="3"/>
      <c r="D713" s="129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200"/>
      <c r="C714" s="3"/>
      <c r="D714" s="129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200"/>
      <c r="C715" s="3"/>
      <c r="D715" s="129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200"/>
      <c r="C716" s="3"/>
      <c r="D716" s="129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200"/>
      <c r="C717" s="3"/>
      <c r="D717" s="129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200"/>
      <c r="C718" s="3"/>
      <c r="D718" s="129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200"/>
      <c r="C719" s="3"/>
      <c r="D719" s="129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200"/>
      <c r="C720" s="3"/>
      <c r="D720" s="129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200"/>
      <c r="C721" s="3"/>
      <c r="D721" s="129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200"/>
      <c r="C722" s="3"/>
      <c r="D722" s="129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200"/>
      <c r="C723" s="3"/>
      <c r="D723" s="129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200"/>
      <c r="C724" s="3"/>
      <c r="D724" s="129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200"/>
      <c r="C725" s="3"/>
      <c r="D725" s="129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200"/>
      <c r="C726" s="3"/>
      <c r="D726" s="129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200"/>
      <c r="C727" s="3"/>
      <c r="D727" s="129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200"/>
      <c r="C728" s="3"/>
      <c r="D728" s="129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200"/>
      <c r="C729" s="3"/>
      <c r="D729" s="129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200"/>
      <c r="C730" s="3"/>
      <c r="D730" s="129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200"/>
      <c r="C731" s="3"/>
      <c r="D731" s="129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200"/>
      <c r="C732" s="3"/>
      <c r="D732" s="129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200"/>
      <c r="C733" s="3"/>
      <c r="D733" s="129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200"/>
      <c r="C734" s="3"/>
      <c r="D734" s="129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200"/>
      <c r="C735" s="3"/>
      <c r="D735" s="129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200"/>
      <c r="C736" s="3"/>
      <c r="D736" s="129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200"/>
      <c r="C737" s="3"/>
      <c r="D737" s="129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200"/>
      <c r="C738" s="3"/>
      <c r="D738" s="129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200"/>
      <c r="C739" s="3"/>
      <c r="D739" s="129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200"/>
      <c r="C740" s="3"/>
      <c r="D740" s="129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200"/>
      <c r="C741" s="3"/>
      <c r="D741" s="129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200"/>
      <c r="C742" s="3"/>
      <c r="D742" s="129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200"/>
      <c r="C743" s="3"/>
      <c r="D743" s="129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200"/>
      <c r="C744" s="3"/>
      <c r="D744" s="129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200"/>
      <c r="C745" s="3"/>
      <c r="D745" s="129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200"/>
      <c r="C746" s="3"/>
      <c r="D746" s="129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200"/>
      <c r="C747" s="3"/>
      <c r="D747" s="129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200"/>
      <c r="C748" s="3"/>
      <c r="D748" s="129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200"/>
      <c r="C749" s="3"/>
      <c r="D749" s="129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200"/>
      <c r="C750" s="3"/>
      <c r="D750" s="129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200"/>
      <c r="C751" s="3"/>
      <c r="D751" s="129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200"/>
      <c r="C752" s="3"/>
      <c r="D752" s="129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200"/>
      <c r="C753" s="3"/>
      <c r="D753" s="129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200"/>
      <c r="C754" s="3"/>
      <c r="D754" s="129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200"/>
      <c r="C755" s="3"/>
      <c r="D755" s="129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200"/>
      <c r="C756" s="3"/>
      <c r="D756" s="129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200"/>
      <c r="C757" s="3"/>
      <c r="D757" s="129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200"/>
      <c r="C758" s="3"/>
      <c r="D758" s="129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200"/>
      <c r="C759" s="3"/>
      <c r="D759" s="129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200"/>
      <c r="C760" s="3"/>
      <c r="D760" s="129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200"/>
      <c r="C761" s="3"/>
      <c r="D761" s="129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200"/>
      <c r="C762" s="3"/>
      <c r="D762" s="129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200"/>
      <c r="C763" s="3"/>
      <c r="D763" s="129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200"/>
      <c r="C764" s="3"/>
      <c r="D764" s="129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200"/>
      <c r="C765" s="3"/>
      <c r="D765" s="129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200"/>
      <c r="C766" s="3"/>
      <c r="D766" s="129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200"/>
      <c r="C767" s="3"/>
      <c r="D767" s="129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200"/>
      <c r="C768" s="3"/>
      <c r="D768" s="129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200"/>
      <c r="C769" s="3"/>
      <c r="D769" s="129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200"/>
      <c r="C770" s="3"/>
      <c r="D770" s="129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200"/>
      <c r="C771" s="3"/>
      <c r="D771" s="129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200"/>
      <c r="C772" s="3"/>
      <c r="D772" s="129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200"/>
      <c r="C773" s="3"/>
      <c r="D773" s="129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200"/>
      <c r="C774" s="3"/>
      <c r="D774" s="129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200"/>
      <c r="C775" s="3"/>
      <c r="D775" s="129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200"/>
      <c r="C776" s="3"/>
      <c r="D776" s="129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200"/>
      <c r="C777" s="3"/>
      <c r="D777" s="129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200"/>
      <c r="C778" s="3"/>
      <c r="D778" s="129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200"/>
      <c r="C779" s="3"/>
      <c r="D779" s="129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200"/>
      <c r="C780" s="3"/>
      <c r="D780" s="129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200"/>
      <c r="C781" s="3"/>
      <c r="D781" s="129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200"/>
      <c r="C782" s="3"/>
      <c r="D782" s="129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200"/>
      <c r="C783" s="3"/>
      <c r="D783" s="129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200"/>
      <c r="C784" s="3"/>
      <c r="D784" s="129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200"/>
      <c r="C785" s="3"/>
      <c r="D785" s="129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200"/>
      <c r="C786" s="3"/>
      <c r="D786" s="129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200"/>
      <c r="C787" s="3"/>
      <c r="D787" s="129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200"/>
      <c r="C788" s="3"/>
      <c r="D788" s="129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200"/>
      <c r="C789" s="3"/>
      <c r="D789" s="129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200"/>
      <c r="C790" s="3"/>
      <c r="D790" s="129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200"/>
      <c r="C791" s="3"/>
      <c r="D791" s="129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200"/>
      <c r="C792" s="3"/>
      <c r="D792" s="129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200"/>
      <c r="C793" s="3"/>
      <c r="D793" s="129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200"/>
      <c r="C794" s="3"/>
      <c r="D794" s="129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200"/>
      <c r="C795" s="3"/>
      <c r="D795" s="129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200"/>
      <c r="C796" s="3"/>
      <c r="D796" s="129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200"/>
      <c r="C797" s="3"/>
      <c r="D797" s="129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200"/>
      <c r="C798" s="3"/>
      <c r="D798" s="129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200"/>
      <c r="C799" s="3"/>
      <c r="D799" s="129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200"/>
      <c r="C800" s="3"/>
      <c r="D800" s="129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200"/>
      <c r="C801" s="3"/>
      <c r="D801" s="129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200"/>
      <c r="C802" s="3"/>
      <c r="D802" s="129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200"/>
      <c r="C803" s="3"/>
      <c r="D803" s="129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200"/>
      <c r="C804" s="3"/>
      <c r="D804" s="129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200"/>
      <c r="C805" s="3"/>
      <c r="D805" s="129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200"/>
      <c r="C806" s="3"/>
      <c r="D806" s="129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200"/>
      <c r="C807" s="3"/>
      <c r="D807" s="129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200"/>
      <c r="C808" s="3"/>
      <c r="D808" s="129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200"/>
      <c r="C809" s="3"/>
      <c r="D809" s="129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200"/>
      <c r="C810" s="3"/>
      <c r="D810" s="129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200"/>
      <c r="C811" s="3"/>
      <c r="D811" s="129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200"/>
      <c r="C812" s="3"/>
      <c r="D812" s="129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200"/>
      <c r="C813" s="3"/>
      <c r="D813" s="129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200"/>
      <c r="C814" s="3"/>
      <c r="D814" s="129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200"/>
      <c r="C815" s="3"/>
      <c r="D815" s="129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200"/>
      <c r="C816" s="3"/>
      <c r="D816" s="129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200"/>
      <c r="C817" s="3"/>
      <c r="D817" s="129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200"/>
      <c r="C818" s="3"/>
      <c r="D818" s="129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200"/>
      <c r="C819" s="3"/>
      <c r="D819" s="129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200"/>
      <c r="C820" s="3"/>
      <c r="D820" s="129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200"/>
      <c r="C821" s="3"/>
      <c r="D821" s="129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200"/>
      <c r="C822" s="3"/>
      <c r="D822" s="129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200"/>
      <c r="C823" s="3"/>
      <c r="D823" s="129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200"/>
      <c r="C824" s="3"/>
      <c r="D824" s="129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200"/>
      <c r="C825" s="3"/>
      <c r="D825" s="129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200"/>
      <c r="C826" s="3"/>
      <c r="D826" s="129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200"/>
      <c r="C827" s="3"/>
      <c r="D827" s="129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200"/>
      <c r="C828" s="3"/>
      <c r="D828" s="129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200"/>
      <c r="C829" s="3"/>
      <c r="D829" s="129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200"/>
      <c r="C830" s="3"/>
      <c r="D830" s="129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200"/>
      <c r="C831" s="3"/>
      <c r="D831" s="129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200"/>
      <c r="C832" s="3"/>
      <c r="D832" s="129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200"/>
      <c r="C833" s="3"/>
      <c r="D833" s="129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200"/>
      <c r="C834" s="3"/>
      <c r="D834" s="129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200"/>
      <c r="C835" s="3"/>
      <c r="D835" s="129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200"/>
      <c r="C836" s="3"/>
      <c r="D836" s="129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200"/>
      <c r="C837" s="3"/>
      <c r="D837" s="129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200"/>
      <c r="C838" s="3"/>
      <c r="D838" s="129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200"/>
      <c r="C839" s="3"/>
      <c r="D839" s="129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200"/>
      <c r="C840" s="3"/>
      <c r="D840" s="129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200"/>
      <c r="C841" s="3"/>
      <c r="D841" s="129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200"/>
      <c r="C842" s="3"/>
      <c r="D842" s="129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200"/>
      <c r="C843" s="3"/>
      <c r="D843" s="129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200"/>
      <c r="C844" s="3"/>
      <c r="D844" s="129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200"/>
      <c r="C845" s="3"/>
      <c r="D845" s="129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200"/>
      <c r="C846" s="3"/>
      <c r="D846" s="129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200"/>
      <c r="C847" s="3"/>
      <c r="D847" s="129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200"/>
      <c r="C848" s="3"/>
      <c r="D848" s="129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200"/>
      <c r="C849" s="3"/>
      <c r="D849" s="129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200"/>
      <c r="C850" s="3"/>
      <c r="D850" s="129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200"/>
      <c r="C851" s="3"/>
      <c r="D851" s="129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200"/>
      <c r="C852" s="3"/>
      <c r="D852" s="129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200"/>
      <c r="C853" s="3"/>
      <c r="D853" s="129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200"/>
      <c r="C854" s="3"/>
      <c r="D854" s="129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200"/>
      <c r="C855" s="3"/>
      <c r="D855" s="129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200"/>
      <c r="C856" s="3"/>
      <c r="D856" s="129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200"/>
      <c r="C857" s="3"/>
      <c r="D857" s="129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200"/>
      <c r="C858" s="3"/>
      <c r="D858" s="129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200"/>
      <c r="C859" s="3"/>
      <c r="D859" s="129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200"/>
      <c r="C860" s="3"/>
      <c r="D860" s="129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200"/>
      <c r="C861" s="3"/>
      <c r="D861" s="129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200"/>
      <c r="C862" s="3"/>
      <c r="D862" s="129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200"/>
      <c r="C863" s="3"/>
      <c r="D863" s="129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200"/>
      <c r="C864" s="3"/>
      <c r="D864" s="129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200"/>
      <c r="C865" s="3"/>
      <c r="D865" s="129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200"/>
      <c r="C866" s="3"/>
      <c r="D866" s="129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200"/>
      <c r="C867" s="3"/>
      <c r="D867" s="129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200"/>
      <c r="C868" s="3"/>
      <c r="D868" s="129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200"/>
      <c r="C869" s="3"/>
      <c r="D869" s="129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200"/>
      <c r="C870" s="3"/>
      <c r="D870" s="129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200"/>
      <c r="C871" s="3"/>
      <c r="D871" s="129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200"/>
      <c r="C872" s="3"/>
      <c r="D872" s="129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200"/>
      <c r="C873" s="3"/>
      <c r="D873" s="129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200"/>
      <c r="C874" s="3"/>
      <c r="D874" s="129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200"/>
      <c r="C875" s="3"/>
      <c r="D875" s="129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200"/>
      <c r="C876" s="3"/>
      <c r="D876" s="129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200"/>
      <c r="C877" s="3"/>
      <c r="D877" s="129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200"/>
      <c r="C878" s="3"/>
      <c r="D878" s="129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200"/>
      <c r="C879" s="3"/>
      <c r="D879" s="129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200"/>
      <c r="C880" s="3"/>
      <c r="D880" s="129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200"/>
      <c r="C881" s="3"/>
      <c r="D881" s="129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200"/>
      <c r="C882" s="3"/>
      <c r="D882" s="129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200"/>
      <c r="C883" s="3"/>
      <c r="D883" s="129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200"/>
      <c r="C884" s="3"/>
      <c r="D884" s="129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200"/>
      <c r="C885" s="3"/>
      <c r="D885" s="129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200"/>
      <c r="C886" s="3"/>
      <c r="D886" s="129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200"/>
      <c r="C887" s="3"/>
      <c r="D887" s="129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200"/>
      <c r="C888" s="3"/>
      <c r="D888" s="129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200"/>
      <c r="C889" s="3"/>
      <c r="D889" s="129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200"/>
      <c r="C890" s="3"/>
      <c r="D890" s="129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200"/>
      <c r="C891" s="3"/>
      <c r="D891" s="129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200"/>
      <c r="C892" s="3"/>
      <c r="D892" s="129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200"/>
      <c r="C893" s="3"/>
      <c r="D893" s="129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200"/>
      <c r="C894" s="3"/>
      <c r="D894" s="129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200"/>
      <c r="C895" s="3"/>
      <c r="D895" s="129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200"/>
      <c r="C896" s="3"/>
      <c r="D896" s="129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200"/>
      <c r="C897" s="3"/>
      <c r="D897" s="129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200"/>
      <c r="C898" s="3"/>
      <c r="D898" s="129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200"/>
      <c r="C899" s="3"/>
      <c r="D899" s="129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200"/>
      <c r="C900" s="3"/>
      <c r="D900" s="129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200"/>
      <c r="C901" s="3"/>
      <c r="D901" s="129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200"/>
      <c r="C902" s="3"/>
      <c r="D902" s="129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200"/>
      <c r="C903" s="3"/>
      <c r="D903" s="129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200"/>
      <c r="C904" s="3"/>
      <c r="D904" s="129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200"/>
      <c r="C905" s="3"/>
      <c r="D905" s="129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200"/>
      <c r="C906" s="3"/>
      <c r="D906" s="129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200"/>
      <c r="C907" s="3"/>
      <c r="D907" s="129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200"/>
      <c r="C908" s="3"/>
      <c r="D908" s="129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200"/>
      <c r="C909" s="3"/>
      <c r="D909" s="129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200"/>
      <c r="C910" s="3"/>
      <c r="D910" s="129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200"/>
      <c r="C911" s="3"/>
      <c r="D911" s="129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200"/>
      <c r="C912" s="3"/>
      <c r="D912" s="129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200"/>
      <c r="C913" s="3"/>
      <c r="D913" s="129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200"/>
      <c r="C914" s="3"/>
      <c r="D914" s="129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200"/>
      <c r="C915" s="3"/>
      <c r="D915" s="129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200"/>
      <c r="C916" s="3"/>
      <c r="D916" s="129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200"/>
      <c r="C917" s="3"/>
      <c r="D917" s="129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200"/>
      <c r="C918" s="3"/>
      <c r="D918" s="129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200"/>
      <c r="C919" s="3"/>
      <c r="D919" s="129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200"/>
      <c r="C920" s="3"/>
      <c r="D920" s="129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200"/>
      <c r="C921" s="3"/>
      <c r="D921" s="129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200"/>
      <c r="C922" s="3"/>
      <c r="D922" s="129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200"/>
      <c r="C923" s="3"/>
      <c r="D923" s="129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200"/>
      <c r="C924" s="3"/>
      <c r="D924" s="129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200"/>
      <c r="C925" s="3"/>
      <c r="D925" s="129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200"/>
      <c r="C926" s="3"/>
      <c r="D926" s="129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200"/>
      <c r="C927" s="3"/>
      <c r="D927" s="129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200"/>
      <c r="C928" s="3"/>
      <c r="D928" s="129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200"/>
      <c r="C929" s="3"/>
      <c r="D929" s="129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200"/>
      <c r="C930" s="3"/>
      <c r="D930" s="129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200"/>
      <c r="C931" s="3"/>
      <c r="D931" s="129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200"/>
      <c r="C932" s="3"/>
      <c r="D932" s="129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200"/>
      <c r="C933" s="3"/>
      <c r="D933" s="129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200"/>
      <c r="C934" s="3"/>
      <c r="D934" s="129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200"/>
      <c r="C935" s="3"/>
      <c r="D935" s="129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200"/>
      <c r="C936" s="3"/>
      <c r="D936" s="129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200"/>
      <c r="C937" s="3"/>
      <c r="D937" s="129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200"/>
      <c r="C938" s="3"/>
      <c r="D938" s="129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200"/>
      <c r="C939" s="3"/>
      <c r="D939" s="129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200"/>
      <c r="C940" s="3"/>
      <c r="D940" s="129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200"/>
      <c r="C941" s="3"/>
      <c r="D941" s="129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200"/>
      <c r="C942" s="3"/>
      <c r="D942" s="129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200"/>
      <c r="C943" s="3"/>
      <c r="D943" s="129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200"/>
      <c r="C944" s="3"/>
      <c r="D944" s="129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200"/>
      <c r="C945" s="3"/>
      <c r="D945" s="129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200"/>
      <c r="C946" s="3"/>
      <c r="D946" s="129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200"/>
      <c r="C947" s="3"/>
      <c r="D947" s="129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200"/>
      <c r="C948" s="3"/>
      <c r="D948" s="129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200"/>
      <c r="C949" s="3"/>
      <c r="D949" s="129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200"/>
      <c r="C950" s="3"/>
      <c r="D950" s="129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200"/>
      <c r="C951" s="3"/>
      <c r="D951" s="129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200"/>
      <c r="C952" s="3"/>
      <c r="D952" s="129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200"/>
      <c r="C953" s="3"/>
      <c r="D953" s="129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200"/>
      <c r="C954" s="3"/>
      <c r="D954" s="129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200"/>
      <c r="C955" s="3"/>
      <c r="D955" s="129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200"/>
      <c r="C956" s="3"/>
      <c r="D956" s="129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200"/>
      <c r="C957" s="3"/>
      <c r="D957" s="129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200"/>
      <c r="C958" s="3"/>
      <c r="D958" s="129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200"/>
      <c r="C959" s="3"/>
      <c r="D959" s="129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200"/>
      <c r="C960" s="3"/>
      <c r="D960" s="129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200"/>
      <c r="C961" s="3"/>
      <c r="D961" s="129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200"/>
      <c r="C962" s="3"/>
      <c r="D962" s="129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200"/>
      <c r="C963" s="3"/>
      <c r="D963" s="129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200"/>
      <c r="C964" s="3"/>
      <c r="D964" s="129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200"/>
      <c r="C965" s="3"/>
      <c r="D965" s="129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200"/>
      <c r="C966" s="3"/>
      <c r="D966" s="129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200"/>
      <c r="C967" s="3"/>
      <c r="D967" s="129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200"/>
      <c r="C968" s="3"/>
      <c r="D968" s="129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200"/>
      <c r="C969" s="3"/>
      <c r="D969" s="129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200"/>
      <c r="C970" s="3"/>
      <c r="D970" s="129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200"/>
      <c r="C971" s="3"/>
      <c r="D971" s="129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200"/>
      <c r="C972" s="3"/>
      <c r="D972" s="129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200"/>
      <c r="C973" s="3"/>
      <c r="D973" s="129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200"/>
      <c r="C974" s="3"/>
      <c r="D974" s="129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200"/>
      <c r="C975" s="3"/>
      <c r="D975" s="129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200"/>
      <c r="C976" s="3"/>
      <c r="D976" s="129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200"/>
      <c r="C977" s="3"/>
      <c r="D977" s="129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200"/>
      <c r="C978" s="3"/>
      <c r="D978" s="129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200"/>
      <c r="C979" s="3"/>
      <c r="D979" s="129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200"/>
      <c r="C980" s="3"/>
      <c r="D980" s="129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200"/>
      <c r="C981" s="3"/>
      <c r="D981" s="129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200"/>
      <c r="C982" s="3"/>
      <c r="D982" s="129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200"/>
      <c r="C983" s="3"/>
      <c r="D983" s="129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200"/>
      <c r="C984" s="3"/>
      <c r="D984" s="129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200"/>
      <c r="C985" s="3"/>
      <c r="D985" s="129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200"/>
      <c r="C986" s="3"/>
      <c r="D986" s="129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200"/>
      <c r="C987" s="3"/>
      <c r="D987" s="129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200"/>
      <c r="C988" s="3"/>
      <c r="D988" s="129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200"/>
      <c r="C989" s="3"/>
      <c r="D989" s="129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200"/>
      <c r="C990" s="3"/>
      <c r="D990" s="129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200"/>
      <c r="C991" s="3"/>
      <c r="D991" s="129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200"/>
      <c r="C992" s="3"/>
      <c r="D992" s="129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200"/>
      <c r="C993" s="3"/>
      <c r="D993" s="129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200"/>
      <c r="C994" s="3"/>
      <c r="D994" s="129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200"/>
      <c r="C995" s="3"/>
      <c r="D995" s="129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200"/>
      <c r="C996" s="3"/>
      <c r="D996" s="129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200"/>
      <c r="C997" s="3"/>
      <c r="D997" s="129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200"/>
      <c r="C998" s="3"/>
      <c r="D998" s="129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200"/>
      <c r="C999" s="3"/>
      <c r="D999" s="129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200"/>
      <c r="C1000" s="3"/>
      <c r="D1000" s="129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8.0"/>
    <col customWidth="1" min="3" max="3" width="11.29"/>
    <col customWidth="1" min="4" max="4" width="14.57"/>
    <col customWidth="1" min="5" max="5" width="20.29"/>
    <col customWidth="1" min="6" max="6" width="21.29"/>
    <col customWidth="1" min="7" max="7" width="13.71"/>
    <col customWidth="1" min="8" max="8" width="7.71"/>
    <col customWidth="1" min="9" max="9" width="21.14"/>
    <col customWidth="1" min="10" max="26" width="8.86"/>
  </cols>
  <sheetData>
    <row r="1" ht="14.2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4.25" customHeight="1">
      <c r="A2" s="37"/>
      <c r="B2" s="20" t="s">
        <v>168</v>
      </c>
      <c r="C2" s="20" t="s">
        <v>169</v>
      </c>
      <c r="D2" s="20" t="s">
        <v>170</v>
      </c>
      <c r="E2" s="20" t="s">
        <v>171</v>
      </c>
      <c r="F2" s="20" t="s">
        <v>172</v>
      </c>
      <c r="G2" s="20" t="s">
        <v>173</v>
      </c>
      <c r="H2" s="20" t="s">
        <v>174</v>
      </c>
      <c r="I2" s="20" t="s">
        <v>175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4.25" customHeight="1">
      <c r="A3" s="37"/>
      <c r="B3" s="20">
        <v>4375571.0</v>
      </c>
      <c r="C3" s="20">
        <v>1.2377109E7</v>
      </c>
      <c r="D3" s="20" t="s">
        <v>209</v>
      </c>
      <c r="E3" s="20" t="s">
        <v>177</v>
      </c>
      <c r="F3" s="20" t="s">
        <v>210</v>
      </c>
      <c r="G3" s="20" t="s">
        <v>179</v>
      </c>
      <c r="H3" s="20">
        <v>-265.3</v>
      </c>
      <c r="I3" s="203">
        <v>45937.887719907405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4.25" customHeight="1">
      <c r="A4" s="37"/>
      <c r="B4" s="37"/>
      <c r="C4" s="37"/>
      <c r="D4" s="37"/>
      <c r="E4" s="37"/>
      <c r="F4" s="37"/>
      <c r="G4" s="37"/>
      <c r="H4" s="65">
        <f>SUM(H3)</f>
        <v>-265.3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4.25" customHeight="1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</row>
    <row r="6" ht="14.2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4.25" customHeight="1">
      <c r="A7" s="37"/>
      <c r="B7" s="20" t="s">
        <v>168</v>
      </c>
      <c r="C7" s="20" t="s">
        <v>169</v>
      </c>
      <c r="D7" s="20" t="s">
        <v>170</v>
      </c>
      <c r="E7" s="20" t="s">
        <v>171</v>
      </c>
      <c r="F7" s="20" t="s">
        <v>172</v>
      </c>
      <c r="G7" s="20" t="s">
        <v>173</v>
      </c>
      <c r="H7" s="20" t="s">
        <v>174</v>
      </c>
      <c r="I7" s="20" t="s">
        <v>175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4.25" customHeight="1">
      <c r="A8" s="37"/>
      <c r="B8" s="20">
        <v>5191979.0</v>
      </c>
      <c r="C8" s="20">
        <v>1.2389068E7</v>
      </c>
      <c r="D8" s="20" t="s">
        <v>209</v>
      </c>
      <c r="E8" s="20" t="s">
        <v>177</v>
      </c>
      <c r="F8" s="20" t="s">
        <v>211</v>
      </c>
      <c r="G8" s="20" t="s">
        <v>179</v>
      </c>
      <c r="H8" s="20">
        <v>-200.0</v>
      </c>
      <c r="I8" s="203">
        <v>45939.750451388885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4.25" customHeight="1">
      <c r="A9" s="37"/>
      <c r="B9" s="37"/>
      <c r="C9" s="37"/>
      <c r="D9" s="37"/>
      <c r="E9" s="37"/>
      <c r="F9" s="37"/>
      <c r="G9" s="37"/>
      <c r="H9" s="65">
        <f>SUM(H8)</f>
        <v>-200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4.25" customHeight="1">
      <c r="A10" s="214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</row>
    <row r="11" ht="14.2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4.25" customHeight="1">
      <c r="A12" s="37"/>
      <c r="B12" s="20" t="s">
        <v>168</v>
      </c>
      <c r="C12" s="20" t="s">
        <v>169</v>
      </c>
      <c r="D12" s="20" t="s">
        <v>170</v>
      </c>
      <c r="E12" s="20" t="s">
        <v>171</v>
      </c>
      <c r="F12" s="20" t="s">
        <v>172</v>
      </c>
      <c r="G12" s="20" t="s">
        <v>173</v>
      </c>
      <c r="H12" s="20" t="s">
        <v>174</v>
      </c>
      <c r="I12" s="20" t="s">
        <v>175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4.25" customHeight="1">
      <c r="A13" s="37"/>
      <c r="B13" s="20">
        <v>5753809.0</v>
      </c>
      <c r="C13" s="20">
        <v>1.2396828E7</v>
      </c>
      <c r="D13" s="20" t="s">
        <v>209</v>
      </c>
      <c r="E13" s="20" t="s">
        <v>177</v>
      </c>
      <c r="F13" s="20" t="s">
        <v>212</v>
      </c>
      <c r="G13" s="20" t="s">
        <v>179</v>
      </c>
      <c r="H13" s="20">
        <v>-100.0</v>
      </c>
      <c r="I13" s="203">
        <v>45940.73059027778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4.25" customHeight="1">
      <c r="A14" s="37"/>
      <c r="B14" s="20">
        <v>5653721.0</v>
      </c>
      <c r="C14" s="20">
        <v>1.2397486E7</v>
      </c>
      <c r="D14" s="20" t="s">
        <v>209</v>
      </c>
      <c r="E14" s="20" t="s">
        <v>177</v>
      </c>
      <c r="F14" s="20" t="s">
        <v>213</v>
      </c>
      <c r="G14" s="20" t="s">
        <v>179</v>
      </c>
      <c r="H14" s="20">
        <v>-100.0</v>
      </c>
      <c r="I14" s="203">
        <v>45940.76708333333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4.25" customHeight="1">
      <c r="A15" s="37"/>
      <c r="B15" s="37"/>
      <c r="C15" s="37"/>
      <c r="D15" s="37"/>
      <c r="E15" s="37"/>
      <c r="F15" s="37"/>
      <c r="G15" s="37"/>
      <c r="H15" s="65">
        <f>SUM(H13:H14)</f>
        <v>-200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4.25" customHeight="1">
      <c r="A16" s="214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</row>
    <row r="17" ht="14.2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4.25" customHeight="1">
      <c r="A18" s="37"/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4.25" customHeight="1">
      <c r="A19" s="37"/>
      <c r="B19" s="20">
        <v>4556882.0</v>
      </c>
      <c r="C19" s="20">
        <v>1.2405592E7</v>
      </c>
      <c r="D19" s="20" t="s">
        <v>209</v>
      </c>
      <c r="E19" s="20" t="s">
        <v>177</v>
      </c>
      <c r="F19" s="20" t="s">
        <v>214</v>
      </c>
      <c r="G19" s="20" t="s">
        <v>179</v>
      </c>
      <c r="H19" s="20">
        <v>-100.0</v>
      </c>
      <c r="I19" s="203">
        <v>45941.640023148146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4.25" customHeight="1">
      <c r="A20" s="37"/>
      <c r="B20" s="20">
        <v>4710989.0</v>
      </c>
      <c r="C20" s="20">
        <v>1.2405654E7</v>
      </c>
      <c r="D20" s="20" t="s">
        <v>209</v>
      </c>
      <c r="E20" s="20" t="s">
        <v>177</v>
      </c>
      <c r="F20" s="20" t="s">
        <v>215</v>
      </c>
      <c r="G20" s="20" t="s">
        <v>179</v>
      </c>
      <c r="H20" s="20">
        <v>-50.0</v>
      </c>
      <c r="I20" s="203">
        <v>45941.64188657407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4.25" customHeight="1">
      <c r="A21" s="37"/>
      <c r="B21" s="20">
        <v>5612751.0</v>
      </c>
      <c r="C21" s="20">
        <v>1.240749E7</v>
      </c>
      <c r="D21" s="20" t="s">
        <v>209</v>
      </c>
      <c r="E21" s="20" t="s">
        <v>177</v>
      </c>
      <c r="F21" s="20" t="s">
        <v>216</v>
      </c>
      <c r="G21" s="20" t="s">
        <v>179</v>
      </c>
      <c r="H21" s="20">
        <v>-191.9</v>
      </c>
      <c r="I21" s="203">
        <v>45941.71680555555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4.25" customHeight="1">
      <c r="A22" s="37"/>
      <c r="B22" s="20">
        <v>5648255.0</v>
      </c>
      <c r="C22" s="20">
        <v>1.2410003E7</v>
      </c>
      <c r="D22" s="20" t="s">
        <v>209</v>
      </c>
      <c r="E22" s="20" t="s">
        <v>177</v>
      </c>
      <c r="F22" s="20" t="s">
        <v>217</v>
      </c>
      <c r="G22" s="20" t="s">
        <v>179</v>
      </c>
      <c r="H22" s="20">
        <v>-175.0</v>
      </c>
      <c r="I22" s="203">
        <v>45941.823958333334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4.25" customHeight="1">
      <c r="A23" s="37"/>
      <c r="B23" s="20">
        <v>5198942.0</v>
      </c>
      <c r="C23" s="20">
        <v>1.2410067E7</v>
      </c>
      <c r="D23" s="20" t="s">
        <v>209</v>
      </c>
      <c r="E23" s="20" t="s">
        <v>177</v>
      </c>
      <c r="F23" s="20" t="s">
        <v>218</v>
      </c>
      <c r="G23" s="20" t="s">
        <v>179</v>
      </c>
      <c r="H23" s="20">
        <v>-190.9</v>
      </c>
      <c r="I23" s="203">
        <v>45941.82728009259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4.25" customHeight="1">
      <c r="A24" s="37"/>
      <c r="B24" s="20">
        <v>5246478.0</v>
      </c>
      <c r="C24" s="20">
        <v>1.2410267E7</v>
      </c>
      <c r="D24" s="20" t="s">
        <v>209</v>
      </c>
      <c r="E24" s="20" t="s">
        <v>177</v>
      </c>
      <c r="F24" s="20" t="s">
        <v>219</v>
      </c>
      <c r="G24" s="20" t="s">
        <v>179</v>
      </c>
      <c r="H24" s="20">
        <v>-150.0</v>
      </c>
      <c r="I24" s="203">
        <v>45941.835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4.25" customHeight="1">
      <c r="A25" s="3"/>
      <c r="B25" s="20">
        <v>4617256.0</v>
      </c>
      <c r="C25" s="20">
        <v>1.240645E7</v>
      </c>
      <c r="D25" s="20" t="s">
        <v>209</v>
      </c>
      <c r="E25" s="20" t="s">
        <v>177</v>
      </c>
      <c r="F25" s="20" t="s">
        <v>220</v>
      </c>
      <c r="G25" s="20" t="s">
        <v>179</v>
      </c>
      <c r="H25" s="20">
        <v>-150.9</v>
      </c>
      <c r="I25" s="203">
        <v>45941.672939814816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7"/>
      <c r="B26" s="20">
        <v>4651307.0</v>
      </c>
      <c r="C26" s="20">
        <v>1.2410401E7</v>
      </c>
      <c r="D26" s="20" t="s">
        <v>209</v>
      </c>
      <c r="E26" s="20" t="s">
        <v>177</v>
      </c>
      <c r="F26" s="20" t="s">
        <v>221</v>
      </c>
      <c r="G26" s="20" t="s">
        <v>179</v>
      </c>
      <c r="H26" s="20">
        <v>-100.0</v>
      </c>
      <c r="I26" s="203">
        <v>45941.84274305555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4.25" customHeight="1">
      <c r="A27" s="37"/>
      <c r="B27" s="37"/>
      <c r="C27" s="37"/>
      <c r="D27" s="37"/>
      <c r="E27" s="37"/>
      <c r="F27" s="37"/>
      <c r="G27" s="37"/>
      <c r="H27" s="65">
        <f>SUM(H19:H26)</f>
        <v>-1108.7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4.25" customHeight="1">
      <c r="A28" s="214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</row>
    <row r="29" ht="14.2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4.25" customHeight="1">
      <c r="A30" s="37"/>
      <c r="B30" s="20" t="s">
        <v>168</v>
      </c>
      <c r="C30" s="20" t="s">
        <v>169</v>
      </c>
      <c r="D30" s="20" t="s">
        <v>170</v>
      </c>
      <c r="E30" s="20" t="s">
        <v>171</v>
      </c>
      <c r="F30" s="20" t="s">
        <v>172</v>
      </c>
      <c r="G30" s="20" t="s">
        <v>173</v>
      </c>
      <c r="H30" s="20" t="s">
        <v>174</v>
      </c>
      <c r="I30" s="20" t="s">
        <v>175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4.25" customHeight="1">
      <c r="A31" s="37"/>
      <c r="B31" s="20">
        <v>5708493.0</v>
      </c>
      <c r="C31" s="20">
        <v>1.2418821E7</v>
      </c>
      <c r="D31" s="20" t="s">
        <v>209</v>
      </c>
      <c r="E31" s="20" t="s">
        <v>177</v>
      </c>
      <c r="F31" s="20" t="s">
        <v>222</v>
      </c>
      <c r="G31" s="20" t="s">
        <v>179</v>
      </c>
      <c r="H31" s="20">
        <v>-143.9</v>
      </c>
      <c r="I31" s="203">
        <v>45942.77746527778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4.25" customHeight="1">
      <c r="A32" s="37"/>
      <c r="B32" s="20">
        <v>4396675.0</v>
      </c>
      <c r="C32" s="20">
        <v>1.2419301E7</v>
      </c>
      <c r="D32" s="20" t="s">
        <v>209</v>
      </c>
      <c r="E32" s="20" t="s">
        <v>177</v>
      </c>
      <c r="F32" s="20" t="s">
        <v>223</v>
      </c>
      <c r="G32" s="20" t="s">
        <v>179</v>
      </c>
      <c r="H32" s="20">
        <v>-100.0</v>
      </c>
      <c r="I32" s="203">
        <v>45942.8256712963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4.25" customHeight="1">
      <c r="A33" s="37"/>
      <c r="B33" s="37"/>
      <c r="C33" s="37"/>
      <c r="D33" s="37"/>
      <c r="E33" s="37"/>
      <c r="F33" s="37"/>
      <c r="G33" s="37"/>
      <c r="H33" s="65">
        <f>SUM(H31:H32)</f>
        <v>-243.9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4.25" customHeight="1">
      <c r="A34" s="214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</row>
    <row r="35" ht="14.2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4.2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4.2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4.2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4.2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4.2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4.2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4.2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4.2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4.2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4.2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4.2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4.2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4.2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4.2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4.2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4.2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4.2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4.2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4.2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4.2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4.2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4.2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4.2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4.2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4.2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4.2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4.2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4.2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4.2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4.2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4.2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4.2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4.2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4.2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4.2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4.2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4.2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4.2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4.2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4.2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4.2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4.2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4.2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4.2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4.2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4.2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4.2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4.2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4.2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4.2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4.2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4.2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4.2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4.2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4.2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4.2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4.2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4.2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4.2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4.2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4.2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4.2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4.2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4.2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4.2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4.2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4.2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4.2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4.2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4.2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4.2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4.2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4.2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4.2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4.2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4.2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4.2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4.2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4.2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4.2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4.2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4.2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4.2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4.2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4.2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4.2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4.2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4.2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4.2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4.2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4.2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4.2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4.2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4.2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4.2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4.2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4.2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4.2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4.2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4.2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4.2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4.2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4.2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4.2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4.2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4.2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4.2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4.2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4.2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4.2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4.2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4.2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4.2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4.2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4.2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4.2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4.2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4.2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4.2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4.2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4.2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4.2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4.2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4.2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4.2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4.2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4.2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4.2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4.2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4.2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4.2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4.2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4.2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4.2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4.2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4.2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4.2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4.2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4.2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4.2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4.2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4.2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4.2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4.2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4.2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4.2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4.2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4.2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4.2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4.2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4.2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4.2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4.2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4.2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4.2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4.2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4.2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4.2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4.2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4.2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4.2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4.2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4.2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4.2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4.2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4.2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4.2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4.2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4.2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4.2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4.2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4.2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4.2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4.2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4.2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4.2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4.2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4.2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4.2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4.2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4.2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4.2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4.2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4.2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4.2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4.2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4.2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4.2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4.2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4.2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4.2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4.2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4.2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4.2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4.2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4.2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4.2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4.2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4.2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4.2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4.2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4.2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4.2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4.2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4.2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4.2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4.2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4.2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4.2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4.2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4.2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4.2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4.2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4.2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4.2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4.2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4.2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4.2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4.2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4.2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4.2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4.2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4.2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4.2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4.2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4.2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4.2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4.2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4.2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4.2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4.2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4.2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4.2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4.2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4.2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4.2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4.2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4.2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4.2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4.2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4.2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4.2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4.2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4.2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4.2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4.2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4.2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4.2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4.2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4.2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4.2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4.2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4.2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4.2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4.2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4.2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4.2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4.2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4.2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4.2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4.2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4.2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4.2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4.2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4.2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4.2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4.2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4.2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4.2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4.2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4.2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4.2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4.2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4.2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4.2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4.2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4.2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4.2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4.2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4.2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4.2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4.2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4.2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4.2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4.2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4.2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4.2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4.2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4.2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4.2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4.2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4.2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4.2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4.2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4.2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4.2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4.2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4.2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4.2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4.2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4.2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4.2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4.2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4.2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4.2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4.2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4.2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4.2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4.2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4.2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4.2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4.2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4.2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4.2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4.2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4.2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4.2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4.2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4.2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4.2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4.2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4.2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4.2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4.2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4.2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4.2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4.2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4.2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4.2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4.2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4.2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4.2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4.2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4.2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4.2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4.2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4.2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4.2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4.2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4.2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4.2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4.2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4.2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4.2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4.2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4.2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4.2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4.2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4.2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4.2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4.2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4.2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4.2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4.2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4.2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4.2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4.2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4.2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4.2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4.2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4.2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4.2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4.2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4.2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4.2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4.2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4.2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4.2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4.2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4.2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4.2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4.2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4.2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4.2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4.2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4.2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4.2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4.2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4.2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4.2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4.2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4.2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4.2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4.2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4.2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4.2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4.2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4.2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4.2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4.2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4.2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4.2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4.2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4.2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4.2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4.2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4.2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4.2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4.2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4.2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4.2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4.2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4.2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4.2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4.2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4.2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4.2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4.2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4.2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4.2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4.2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4.2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4.2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4.2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4.2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4.2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4.2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4.2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4.2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4.2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4.2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4.2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4.2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4.2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4.2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4.2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4.2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4.2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4.2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4.2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4.2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4.2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4.2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4.2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4.2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4.2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4.2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4.2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4.2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4.2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4.2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4.2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4.2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4.2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4.2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4.2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4.2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4.2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4.2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4.2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4.2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4.2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4.2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4.2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4.2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4.2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4.2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4.2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4.2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4.2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4.2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4.2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4.2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4.2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4.2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4.2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4.2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4.2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4.2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4.2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4.2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4.2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4.2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4.2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4.2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4.2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4.2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4.2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4.2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4.2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4.2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4.2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4.2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4.2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4.2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4.2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4.2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4.2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4.2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4.2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4.2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4.2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4.2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4.2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4.2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4.2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4.2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4.2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4.2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4.2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4.2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4.2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4.2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4.2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4.2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4.2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4.2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4.2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4.2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4.2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4.2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4.2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4.2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4.2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4.2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4.2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4.2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4.2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4.2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4.2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4.2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4.2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4.2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4.2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4.2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4.2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4.2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4.2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4.2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4.2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4.2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4.2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4.2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4.2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4.2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4.2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4.2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4.2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4.2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4.2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4.2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4.2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4.2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4.2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4.2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4.2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4.2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4.2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4.2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4.2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4.2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4.2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4.2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4.2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4.2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4.2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4.2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4.2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4.2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4.2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4.2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4.2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4.2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4.2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4.2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4.2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4.2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4.2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4.2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4.2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4.2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4.2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4.2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4.2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4.2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4.2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4.2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4.2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4.2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4.2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4.2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4.2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4.2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4.2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4.2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4.2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4.2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4.2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4.2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4.2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4.2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4.2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4.2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4.2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4.2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4.2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4.2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4.2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4.2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4.2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4.2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4.2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4.2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4.2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4.2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4.2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4.2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4.2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4.2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4.2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4.2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4.2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4.2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4.2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4.2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4.2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4.2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4.2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4.2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4.2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4.2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4.2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4.2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4.2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4.2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4.2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4.2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4.2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4.2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4.2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4.2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4.2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4.2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4.2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4.2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4.2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4.2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4.2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4.2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4.2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4.2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4.2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4.2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4.2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4.2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4.2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4.2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4.2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4.2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4.2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4.2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4.2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4.2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4.2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4.2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4.2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4.2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4.2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4.2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4.2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4.2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4.2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4.2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4.2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4.2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4.2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4.2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4.2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4.2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4.2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4.2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4.2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4.2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4.2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4.2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4.2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4.2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4.2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4.2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4.2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4.2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4.2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4.2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4.2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4.2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4.2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4.2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4.2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4.2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4.2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4.2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4.2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4.2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4.2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4.2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4.2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4.2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4.2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4.2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4.2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4.2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4.2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4.2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4.2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4.2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4.2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4.2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4.2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4.2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4.2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4.2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4.2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4.2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4.2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4.2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4.2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4.2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4.2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4.2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4.2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4.2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4.2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4.2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4.2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4.2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4.2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4.2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4.2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4.2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4.2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4.2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4.2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4.2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4.2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4.2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4.2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4.2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4.2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4.2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4.2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4.2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4.2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4.2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4.2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4.2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4.2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4.2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4.2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4.2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4.2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4.2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4.2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4.2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4.2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4.2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4.2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4.2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4.2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4.2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4.2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4.2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4.2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4.2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4.2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4.2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4.2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4.2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4.2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4.2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4.2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4.2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4.2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4.2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4.2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4.2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4.2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4.2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4.2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4.2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4.2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4.2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4.2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4.2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4.2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4.2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4.2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4.2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4.2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4.2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4.2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4.2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4.2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4.2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4.2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4.2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4.2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4.2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4.2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4.2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4.2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4.2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4.2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4.2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4.2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4.2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4.2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4.2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4.2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4.2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4.2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4.2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4.2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4.2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4.2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4.2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4.2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4.2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4.2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4.2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4.2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4.2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4.2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4.2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4.2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4.2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4.2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4.2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4.2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4.2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4.2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4.2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4.2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4.2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4.2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4.2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4.2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4.2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4.2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4.2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4.2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4.2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4.2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4.2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4.2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4.2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4.2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4.2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4.2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4.2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4.2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4.2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4.2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4.2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4.2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4.2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4.2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4.2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4.2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4.2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4.2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4.2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4.2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4.2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4.2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4.2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4.2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4.2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4.2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4.2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4.2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4.2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4.2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4.2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4.2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4.2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4.2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4.2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4.2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4.2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4.2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4.2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4.2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4.2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4.2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4.2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4.2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4.2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4.2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4.2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4.2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4.2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4.2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4.2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4.2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4.2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4.2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4.2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4.2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4.2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4.2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4.2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4.2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4.2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4.2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4.2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4.2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4.2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4.2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4.2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4.2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4.2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4.2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4.2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4.2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4.2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4.2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4.2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4.2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4.2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6" width="12.29"/>
    <col customWidth="1" min="7" max="8" width="12.71"/>
    <col customWidth="1" min="9" max="9" width="13.43"/>
    <col customWidth="1" min="10" max="11" width="12.29"/>
    <col customWidth="1" min="12" max="12" width="22.43"/>
    <col customWidth="1" min="13" max="13" width="12.29"/>
    <col customWidth="1" min="14" max="14" width="10.57"/>
    <col customWidth="1" min="15" max="15" width="51.71"/>
    <col customWidth="1" hidden="1" min="16" max="16" width="7.0"/>
    <col customWidth="1" hidden="1" min="17" max="17" width="9.0"/>
    <col customWidth="1" hidden="1" min="18" max="18" width="18.71"/>
    <col customWidth="1" hidden="1" min="19" max="19" width="4.43"/>
    <col customWidth="1" hidden="1" min="20" max="20" width="10.57"/>
    <col customWidth="1" hidden="1" min="21" max="21" width="5.43"/>
    <col customWidth="1" hidden="1" min="22" max="22" width="23.0"/>
    <col customWidth="1" hidden="1" min="23" max="23" width="9.57"/>
    <col customWidth="1" hidden="1" min="24" max="24" width="8.0"/>
    <col customWidth="1" min="25" max="26" width="8.71"/>
  </cols>
  <sheetData>
    <row r="1" ht="14.25" customHeight="1">
      <c r="F1" s="199"/>
      <c r="P1" s="20">
        <v>900017.0</v>
      </c>
      <c r="Q1" s="20">
        <v>2.841882E7</v>
      </c>
      <c r="R1" s="20" t="s">
        <v>224</v>
      </c>
      <c r="S1" s="20" t="s">
        <v>225</v>
      </c>
      <c r="T1" s="200">
        <v>45022.0</v>
      </c>
      <c r="U1" s="20" t="s">
        <v>226</v>
      </c>
      <c r="V1" s="20" t="s">
        <v>227</v>
      </c>
      <c r="X1" s="20">
        <v>0.0</v>
      </c>
    </row>
    <row r="2" ht="14.25" customHeight="1">
      <c r="F2" s="199"/>
      <c r="P2" s="20">
        <v>900017.0</v>
      </c>
      <c r="Q2" s="20">
        <v>2.841882E7</v>
      </c>
      <c r="R2" s="20" t="s">
        <v>224</v>
      </c>
      <c r="S2" s="20" t="s">
        <v>225</v>
      </c>
      <c r="T2" s="200">
        <v>45027.0</v>
      </c>
      <c r="U2" s="20" t="s">
        <v>226</v>
      </c>
      <c r="V2" s="20" t="s">
        <v>228</v>
      </c>
      <c r="W2" s="20">
        <v>-45114.56</v>
      </c>
    </row>
    <row r="3" ht="14.25" customHeight="1">
      <c r="E3" s="215" t="s">
        <v>229</v>
      </c>
      <c r="P3" s="20">
        <v>900017.0</v>
      </c>
      <c r="Q3" s="20">
        <v>2.841882E7</v>
      </c>
      <c r="R3" s="20" t="s">
        <v>224</v>
      </c>
      <c r="S3" s="20" t="s">
        <v>225</v>
      </c>
      <c r="T3" s="200">
        <v>45027.0</v>
      </c>
      <c r="U3" s="20" t="s">
        <v>226</v>
      </c>
      <c r="V3" s="20" t="s">
        <v>230</v>
      </c>
      <c r="W3" s="20">
        <v>-1038.89</v>
      </c>
    </row>
    <row r="4" ht="14.25" customHeight="1">
      <c r="P4" s="20">
        <v>900017.0</v>
      </c>
      <c r="Q4" s="20">
        <v>2.841882E7</v>
      </c>
      <c r="R4" s="20" t="s">
        <v>224</v>
      </c>
      <c r="S4" s="20" t="s">
        <v>225</v>
      </c>
      <c r="T4" s="200">
        <v>45027.0</v>
      </c>
      <c r="U4" s="20" t="s">
        <v>226</v>
      </c>
      <c r="V4" s="20" t="s">
        <v>231</v>
      </c>
      <c r="X4" s="20">
        <v>4500.0</v>
      </c>
    </row>
    <row r="5" ht="14.25" customHeight="1">
      <c r="E5" s="20" t="s">
        <v>2</v>
      </c>
      <c r="F5" s="216" t="s">
        <v>3</v>
      </c>
      <c r="G5" s="20" t="s">
        <v>4</v>
      </c>
      <c r="H5" s="20" t="s">
        <v>5</v>
      </c>
      <c r="I5" s="20" t="s">
        <v>6</v>
      </c>
      <c r="J5" s="20" t="s">
        <v>7</v>
      </c>
      <c r="K5" s="20" t="s">
        <v>8</v>
      </c>
      <c r="N5" s="20">
        <f>200*5</f>
        <v>1000</v>
      </c>
      <c r="P5" s="20">
        <v>900017.0</v>
      </c>
      <c r="Q5" s="20">
        <v>2.841882E7</v>
      </c>
      <c r="R5" s="20" t="s">
        <v>224</v>
      </c>
      <c r="S5" s="20" t="s">
        <v>225</v>
      </c>
      <c r="T5" s="200">
        <v>45027.0</v>
      </c>
      <c r="U5" s="20" t="s">
        <v>226</v>
      </c>
      <c r="V5" s="20" t="s">
        <v>232</v>
      </c>
      <c r="X5" s="204">
        <v>136.4</v>
      </c>
    </row>
    <row r="6" ht="14.25" customHeight="1">
      <c r="D6" s="20" t="s">
        <v>233</v>
      </c>
      <c r="E6" s="200">
        <v>45936.0</v>
      </c>
      <c r="F6" s="200">
        <f t="shared" ref="F6:K6" si="1">E6+1</f>
        <v>45937</v>
      </c>
      <c r="G6" s="200">
        <f t="shared" si="1"/>
        <v>45938</v>
      </c>
      <c r="H6" s="200">
        <f t="shared" si="1"/>
        <v>45939</v>
      </c>
      <c r="I6" s="200">
        <f t="shared" si="1"/>
        <v>45940</v>
      </c>
      <c r="J6" s="200">
        <f t="shared" si="1"/>
        <v>45941</v>
      </c>
      <c r="K6" s="200">
        <f t="shared" si="1"/>
        <v>45942</v>
      </c>
      <c r="P6" s="20">
        <v>900017.0</v>
      </c>
      <c r="Q6" s="20">
        <v>2.841882E7</v>
      </c>
      <c r="R6" s="20" t="s">
        <v>224</v>
      </c>
      <c r="S6" s="20" t="s">
        <v>225</v>
      </c>
      <c r="T6" s="200">
        <v>45027.0</v>
      </c>
      <c r="U6" s="20" t="s">
        <v>226</v>
      </c>
      <c r="V6" s="20" t="s">
        <v>234</v>
      </c>
      <c r="X6" s="204">
        <v>7183.0</v>
      </c>
    </row>
    <row r="7" ht="14.25" customHeight="1">
      <c r="D7" s="217" t="s">
        <v>235</v>
      </c>
      <c r="E7" s="218">
        <f t="shared" ref="E7:H7" si="2">F6</f>
        <v>45937</v>
      </c>
      <c r="F7" s="219">
        <f t="shared" si="2"/>
        <v>45938</v>
      </c>
      <c r="G7" s="218">
        <f t="shared" si="2"/>
        <v>45939</v>
      </c>
      <c r="H7" s="218">
        <f t="shared" si="2"/>
        <v>45940</v>
      </c>
      <c r="I7" s="218">
        <f>K6+1</f>
        <v>45943</v>
      </c>
      <c r="J7" s="218">
        <f>K6+1</f>
        <v>45943</v>
      </c>
      <c r="K7" s="218">
        <f>I7</f>
        <v>45943</v>
      </c>
      <c r="O7" s="27"/>
      <c r="P7" s="20">
        <v>900017.0</v>
      </c>
      <c r="Q7" s="20">
        <v>2.841882E7</v>
      </c>
      <c r="R7" s="20" t="s">
        <v>224</v>
      </c>
      <c r="S7" s="20" t="s">
        <v>225</v>
      </c>
      <c r="T7" s="200">
        <v>45027.0</v>
      </c>
      <c r="U7" s="20" t="s">
        <v>226</v>
      </c>
      <c r="V7" s="20" t="s">
        <v>236</v>
      </c>
      <c r="X7" s="204">
        <v>6240.61</v>
      </c>
    </row>
    <row r="8" ht="14.25" customHeight="1">
      <c r="E8" s="27">
        <v>5975.3</v>
      </c>
      <c r="F8" s="137">
        <v>5510.22</v>
      </c>
      <c r="G8" s="27">
        <v>191.1</v>
      </c>
      <c r="H8" s="3">
        <v>6928.18</v>
      </c>
      <c r="I8" s="20">
        <v>474.86</v>
      </c>
      <c r="J8" s="20">
        <v>15333.16</v>
      </c>
      <c r="K8" s="20">
        <v>9945.92</v>
      </c>
      <c r="M8" s="51"/>
      <c r="O8" s="15"/>
      <c r="P8" s="20">
        <v>900017.0</v>
      </c>
      <c r="Q8" s="20">
        <v>2.841882E7</v>
      </c>
      <c r="R8" s="20" t="s">
        <v>224</v>
      </c>
      <c r="S8" s="20" t="s">
        <v>225</v>
      </c>
      <c r="T8" s="200">
        <v>45027.0</v>
      </c>
      <c r="U8" s="20" t="s">
        <v>226</v>
      </c>
      <c r="V8" s="20" t="s">
        <v>237</v>
      </c>
      <c r="X8" s="204">
        <v>5167.23</v>
      </c>
    </row>
    <row r="9" ht="14.25" customHeight="1">
      <c r="E9" s="27">
        <v>271.57</v>
      </c>
      <c r="F9" s="137">
        <v>4920.66</v>
      </c>
      <c r="G9" s="27">
        <v>6697.11</v>
      </c>
      <c r="H9" s="20">
        <v>3717.94</v>
      </c>
      <c r="I9" s="20">
        <v>5651.58</v>
      </c>
      <c r="J9" s="20">
        <v>10289.76</v>
      </c>
      <c r="K9" s="20">
        <v>5419.2</v>
      </c>
      <c r="M9" s="51"/>
      <c r="P9" s="20">
        <v>900017.0</v>
      </c>
      <c r="Q9" s="20">
        <v>2.841882E7</v>
      </c>
      <c r="R9" s="20" t="s">
        <v>224</v>
      </c>
      <c r="S9" s="20" t="s">
        <v>225</v>
      </c>
      <c r="T9" s="200">
        <v>45027.0</v>
      </c>
      <c r="U9" s="20" t="s">
        <v>226</v>
      </c>
      <c r="V9" s="20" t="s">
        <v>238</v>
      </c>
      <c r="X9" s="204">
        <v>7627.99</v>
      </c>
    </row>
    <row r="10" ht="14.25" customHeight="1">
      <c r="E10" s="27">
        <v>4537.42</v>
      </c>
      <c r="F10" s="137">
        <v>65.0</v>
      </c>
      <c r="G10" s="27">
        <v>6668.47</v>
      </c>
      <c r="H10" s="3">
        <v>156.28</v>
      </c>
      <c r="I10" s="20">
        <v>9260.75</v>
      </c>
      <c r="J10" s="20">
        <v>7676.71</v>
      </c>
      <c r="K10" s="20">
        <v>5626.53</v>
      </c>
      <c r="L10" s="220"/>
      <c r="M10" s="51"/>
      <c r="P10" s="20">
        <v>900017.0</v>
      </c>
      <c r="Q10" s="20">
        <v>2.841882E7</v>
      </c>
      <c r="R10" s="20" t="s">
        <v>224</v>
      </c>
      <c r="S10" s="20" t="s">
        <v>225</v>
      </c>
      <c r="T10" s="200">
        <v>45027.0</v>
      </c>
      <c r="U10" s="20" t="s">
        <v>226</v>
      </c>
      <c r="V10" s="20" t="s">
        <v>239</v>
      </c>
      <c r="X10" s="204">
        <v>1096.57</v>
      </c>
    </row>
    <row r="11" ht="14.25" customHeight="1">
      <c r="E11" s="27">
        <v>7227.14</v>
      </c>
      <c r="F11" s="137">
        <v>2439.87</v>
      </c>
      <c r="G11" s="27">
        <v>7352.75</v>
      </c>
      <c r="H11" s="3">
        <v>1238.46</v>
      </c>
      <c r="I11" s="20">
        <v>9960.55</v>
      </c>
      <c r="J11" s="20">
        <v>9672.54</v>
      </c>
      <c r="K11" s="20">
        <v>6170.17</v>
      </c>
      <c r="L11" s="3"/>
      <c r="M11" s="51"/>
      <c r="P11" s="20">
        <v>900017.0</v>
      </c>
      <c r="Q11" s="20">
        <v>2.841882E7</v>
      </c>
      <c r="R11" s="20" t="s">
        <v>224</v>
      </c>
      <c r="S11" s="20" t="s">
        <v>225</v>
      </c>
      <c r="T11" s="200">
        <v>45027.0</v>
      </c>
      <c r="U11" s="20" t="s">
        <v>226</v>
      </c>
      <c r="V11" s="20" t="s">
        <v>240</v>
      </c>
      <c r="X11" s="204">
        <v>5769.43</v>
      </c>
    </row>
    <row r="12" ht="14.25" customHeight="1">
      <c r="E12" s="27">
        <v>4772.26</v>
      </c>
      <c r="F12" s="137">
        <v>4819.05</v>
      </c>
      <c r="G12" s="27">
        <v>2821.13</v>
      </c>
      <c r="H12" s="3">
        <v>37.0</v>
      </c>
      <c r="I12" s="20">
        <v>7.85</v>
      </c>
      <c r="J12" s="20">
        <v>2817.79</v>
      </c>
      <c r="K12" s="20">
        <v>262.49</v>
      </c>
      <c r="L12" s="129"/>
      <c r="P12" s="20">
        <v>900017.0</v>
      </c>
      <c r="Q12" s="20">
        <v>2.841882E7</v>
      </c>
      <c r="R12" s="20" t="s">
        <v>224</v>
      </c>
      <c r="S12" s="20" t="s">
        <v>225</v>
      </c>
      <c r="T12" s="200">
        <v>45027.0</v>
      </c>
      <c r="U12" s="20" t="s">
        <v>226</v>
      </c>
      <c r="V12" s="20" t="s">
        <v>241</v>
      </c>
      <c r="X12" s="20">
        <v>576.61</v>
      </c>
    </row>
    <row r="13" ht="14.25" customHeight="1">
      <c r="E13" s="27">
        <v>33.0</v>
      </c>
      <c r="F13" s="137">
        <v>96.0</v>
      </c>
      <c r="G13" s="27">
        <v>4.71</v>
      </c>
      <c r="H13" s="3">
        <v>10327.74</v>
      </c>
      <c r="I13" s="20">
        <v>4277.86</v>
      </c>
      <c r="J13" s="27">
        <v>132.38</v>
      </c>
      <c r="K13" s="20">
        <v>367.62</v>
      </c>
      <c r="P13" s="20">
        <v>900017.0</v>
      </c>
      <c r="Q13" s="20">
        <v>2.841882E7</v>
      </c>
      <c r="R13" s="20" t="s">
        <v>224</v>
      </c>
      <c r="S13" s="20" t="s">
        <v>225</v>
      </c>
      <c r="T13" s="200">
        <v>45027.0</v>
      </c>
      <c r="U13" s="20" t="s">
        <v>226</v>
      </c>
      <c r="V13" s="20" t="s">
        <v>242</v>
      </c>
      <c r="X13" s="20">
        <v>4262.35</v>
      </c>
    </row>
    <row r="14" ht="14.25" customHeight="1">
      <c r="E14" s="27"/>
      <c r="F14" s="137"/>
      <c r="H14" s="15"/>
      <c r="J14" s="27"/>
      <c r="K14" s="15"/>
      <c r="L14" s="221"/>
      <c r="P14" s="20">
        <v>900017.0</v>
      </c>
      <c r="Q14" s="20">
        <v>2.841882E7</v>
      </c>
      <c r="R14" s="20" t="s">
        <v>224</v>
      </c>
      <c r="S14" s="20" t="s">
        <v>225</v>
      </c>
      <c r="T14" s="200">
        <v>45027.0</v>
      </c>
      <c r="U14" s="20" t="s">
        <v>226</v>
      </c>
      <c r="V14" s="20" t="s">
        <v>243</v>
      </c>
      <c r="X14" s="20">
        <v>4439.37</v>
      </c>
    </row>
    <row r="15" ht="14.25" customHeight="1">
      <c r="E15" s="15"/>
      <c r="F15" s="201"/>
      <c r="G15" s="15"/>
      <c r="H15" s="3"/>
      <c r="I15" s="15"/>
      <c r="J15" s="15"/>
      <c r="K15" s="15"/>
      <c r="P15" s="20">
        <v>900017.0</v>
      </c>
      <c r="Q15" s="20">
        <v>2.841882E7</v>
      </c>
      <c r="R15" s="20" t="s">
        <v>224</v>
      </c>
      <c r="S15" s="20" t="s">
        <v>225</v>
      </c>
      <c r="T15" s="200">
        <v>45027.0</v>
      </c>
      <c r="U15" s="20" t="s">
        <v>226</v>
      </c>
      <c r="V15" s="20" t="s">
        <v>244</v>
      </c>
      <c r="X15" s="20">
        <v>808.78</v>
      </c>
    </row>
    <row r="16" ht="14.25" customHeight="1">
      <c r="E16" s="15"/>
      <c r="F16" s="201"/>
      <c r="G16" s="15"/>
      <c r="H16" s="15"/>
      <c r="I16" s="15"/>
      <c r="J16" s="15"/>
      <c r="K16" s="15"/>
      <c r="P16" s="20">
        <v>900017.0</v>
      </c>
      <c r="Q16" s="20">
        <v>2.841882E7</v>
      </c>
      <c r="R16" s="20" t="s">
        <v>224</v>
      </c>
      <c r="S16" s="20" t="s">
        <v>225</v>
      </c>
      <c r="T16" s="200">
        <v>45027.0</v>
      </c>
      <c r="U16" s="20" t="s">
        <v>226</v>
      </c>
      <c r="V16" s="20" t="s">
        <v>245</v>
      </c>
      <c r="X16" s="222">
        <v>206.0</v>
      </c>
    </row>
    <row r="17" ht="14.25" customHeight="1">
      <c r="E17" s="15"/>
      <c r="F17" s="201"/>
      <c r="G17" s="15"/>
      <c r="H17" s="15"/>
      <c r="I17" s="15"/>
      <c r="J17" s="15"/>
      <c r="K17" s="15"/>
      <c r="P17" s="20">
        <v>900017.0</v>
      </c>
      <c r="Q17" s="20">
        <v>2.841882E7</v>
      </c>
      <c r="R17" s="20" t="s">
        <v>224</v>
      </c>
      <c r="S17" s="20" t="s">
        <v>225</v>
      </c>
      <c r="T17" s="200">
        <v>45027.0</v>
      </c>
      <c r="U17" s="20" t="s">
        <v>226</v>
      </c>
      <c r="V17" s="20" t="s">
        <v>246</v>
      </c>
      <c r="X17" s="222">
        <v>4244.25</v>
      </c>
    </row>
    <row r="18" ht="14.25" customHeight="1">
      <c r="E18" s="223">
        <f t="shared" ref="E18:K18" si="3">SUM(E8:E17)</f>
        <v>22816.69</v>
      </c>
      <c r="F18" s="224">
        <f t="shared" si="3"/>
        <v>17850.8</v>
      </c>
      <c r="G18" s="223">
        <f t="shared" si="3"/>
        <v>23735.27</v>
      </c>
      <c r="H18" s="223">
        <f t="shared" si="3"/>
        <v>22405.6</v>
      </c>
      <c r="I18" s="223">
        <f t="shared" si="3"/>
        <v>29633.45</v>
      </c>
      <c r="J18" s="223">
        <f t="shared" si="3"/>
        <v>45922.34</v>
      </c>
      <c r="K18" s="223">
        <f t="shared" si="3"/>
        <v>27791.93</v>
      </c>
      <c r="L18" s="15">
        <f t="shared" ref="L18:L19" si="4">SUM(E18:K18)</f>
        <v>190156.08</v>
      </c>
      <c r="P18" s="20">
        <v>900017.0</v>
      </c>
      <c r="Q18" s="20">
        <v>2.841882E7</v>
      </c>
      <c r="R18" s="20" t="s">
        <v>224</v>
      </c>
      <c r="S18" s="20" t="s">
        <v>225</v>
      </c>
      <c r="T18" s="200">
        <v>45027.0</v>
      </c>
      <c r="U18" s="20" t="s">
        <v>226</v>
      </c>
      <c r="V18" s="20" t="s">
        <v>247</v>
      </c>
      <c r="X18" s="204">
        <v>2757.9</v>
      </c>
    </row>
    <row r="19" ht="14.25" customHeight="1">
      <c r="E19" s="225">
        <v>22816.69</v>
      </c>
      <c r="F19" s="226">
        <v>17850.8</v>
      </c>
      <c r="G19" s="226">
        <v>23735.27</v>
      </c>
      <c r="H19" s="225">
        <v>22405.6</v>
      </c>
      <c r="I19" s="225">
        <v>29633.45</v>
      </c>
      <c r="J19" s="225">
        <v>45922.34</v>
      </c>
      <c r="K19" s="225">
        <v>27791.93</v>
      </c>
      <c r="L19" s="15">
        <f t="shared" si="4"/>
        <v>190156.08</v>
      </c>
      <c r="M19" s="227"/>
      <c r="N19" s="15"/>
      <c r="P19" s="20">
        <v>900017.0</v>
      </c>
      <c r="Q19" s="20">
        <v>2.841882E7</v>
      </c>
      <c r="R19" s="20" t="s">
        <v>224</v>
      </c>
      <c r="S19" s="20" t="s">
        <v>225</v>
      </c>
      <c r="T19" s="200">
        <v>45027.0</v>
      </c>
      <c r="U19" s="20" t="s">
        <v>226</v>
      </c>
      <c r="V19" s="20" t="s">
        <v>248</v>
      </c>
      <c r="X19" s="204">
        <v>5957.2</v>
      </c>
    </row>
    <row r="20" ht="14.25" customHeight="1">
      <c r="E20" s="228">
        <f t="shared" ref="E20:L20" si="5">E18-E19</f>
        <v>0</v>
      </c>
      <c r="F20" s="228">
        <f t="shared" si="5"/>
        <v>0</v>
      </c>
      <c r="G20" s="228">
        <f t="shared" si="5"/>
        <v>0</v>
      </c>
      <c r="H20" s="228">
        <f t="shared" si="5"/>
        <v>0</v>
      </c>
      <c r="I20" s="228">
        <f t="shared" si="5"/>
        <v>0</v>
      </c>
      <c r="J20" s="228">
        <f t="shared" si="5"/>
        <v>0</v>
      </c>
      <c r="K20" s="228">
        <f t="shared" si="5"/>
        <v>0</v>
      </c>
      <c r="L20" s="15">
        <f t="shared" si="5"/>
        <v>0</v>
      </c>
      <c r="P20" s="20">
        <v>900017.0</v>
      </c>
      <c r="Q20" s="20">
        <v>2.841882E7</v>
      </c>
      <c r="R20" s="20" t="s">
        <v>224</v>
      </c>
      <c r="S20" s="20" t="s">
        <v>225</v>
      </c>
      <c r="T20" s="200">
        <v>45027.0</v>
      </c>
      <c r="U20" s="20" t="s">
        <v>226</v>
      </c>
      <c r="V20" s="20" t="s">
        <v>249</v>
      </c>
      <c r="X20" s="204">
        <v>243.5</v>
      </c>
    </row>
    <row r="21" ht="14.25" customHeight="1">
      <c r="F21" s="199"/>
      <c r="P21" s="20">
        <v>900017.0</v>
      </c>
      <c r="Q21" s="20">
        <v>2.841882E7</v>
      </c>
      <c r="R21" s="20" t="s">
        <v>224</v>
      </c>
      <c r="S21" s="20" t="s">
        <v>225</v>
      </c>
      <c r="T21" s="200">
        <v>45027.0</v>
      </c>
      <c r="U21" s="20" t="s">
        <v>226</v>
      </c>
      <c r="V21" s="20" t="s">
        <v>250</v>
      </c>
      <c r="X21" s="20">
        <v>7.0</v>
      </c>
    </row>
    <row r="22" ht="14.25" customHeight="1">
      <c r="F22" s="199"/>
      <c r="G22" s="15"/>
      <c r="H22" s="15"/>
      <c r="I22" s="15"/>
      <c r="O22" s="228"/>
      <c r="P22" s="20">
        <v>900017.0</v>
      </c>
      <c r="Q22" s="20">
        <v>2.841882E7</v>
      </c>
      <c r="R22" s="20" t="s">
        <v>224</v>
      </c>
      <c r="S22" s="20" t="s">
        <v>225</v>
      </c>
      <c r="T22" s="200">
        <v>45027.0</v>
      </c>
      <c r="U22" s="20" t="s">
        <v>226</v>
      </c>
      <c r="V22" s="20" t="s">
        <v>251</v>
      </c>
      <c r="X22" s="204">
        <v>6599.93</v>
      </c>
    </row>
    <row r="23" ht="14.25" customHeight="1">
      <c r="C23" s="37" t="s">
        <v>252</v>
      </c>
      <c r="E23" s="27"/>
      <c r="F23" s="137"/>
      <c r="H23" s="137"/>
      <c r="I23" s="137"/>
      <c r="J23" s="201"/>
      <c r="K23" s="137"/>
      <c r="L23" s="27"/>
      <c r="P23" s="20">
        <v>900017.0</v>
      </c>
      <c r="Q23" s="20">
        <v>2.841882E7</v>
      </c>
      <c r="R23" s="20" t="s">
        <v>224</v>
      </c>
      <c r="S23" s="20" t="s">
        <v>225</v>
      </c>
      <c r="T23" s="200">
        <v>45027.0</v>
      </c>
      <c r="U23" s="20" t="s">
        <v>226</v>
      </c>
      <c r="V23" s="20" t="s">
        <v>253</v>
      </c>
      <c r="X23" s="204">
        <v>6451.97</v>
      </c>
    </row>
    <row r="24" ht="14.25" customHeight="1">
      <c r="C24" s="20" t="s">
        <v>254</v>
      </c>
      <c r="L24" s="15"/>
      <c r="P24" s="20">
        <v>900017.0</v>
      </c>
      <c r="Q24" s="20">
        <v>2.841882E7</v>
      </c>
      <c r="R24" s="20" t="s">
        <v>224</v>
      </c>
      <c r="S24" s="20" t="s">
        <v>225</v>
      </c>
      <c r="T24" s="200">
        <v>45027.0</v>
      </c>
      <c r="U24" s="20" t="s">
        <v>226</v>
      </c>
      <c r="V24" s="20" t="s">
        <v>255</v>
      </c>
      <c r="X24" s="204">
        <v>49.1</v>
      </c>
    </row>
    <row r="25" ht="14.25" customHeight="1">
      <c r="F25" s="229"/>
      <c r="I25" s="3"/>
      <c r="P25" s="20">
        <v>900017.0</v>
      </c>
      <c r="Q25" s="20">
        <v>2.841882E7</v>
      </c>
      <c r="R25" s="20" t="s">
        <v>224</v>
      </c>
      <c r="S25" s="20" t="s">
        <v>225</v>
      </c>
      <c r="T25" s="200">
        <v>45027.0</v>
      </c>
      <c r="U25" s="20" t="s">
        <v>226</v>
      </c>
      <c r="V25" s="20" t="s">
        <v>256</v>
      </c>
      <c r="X25" s="20">
        <v>6074.6</v>
      </c>
    </row>
    <row r="26" ht="14.25" customHeight="1">
      <c r="F26" s="229"/>
      <c r="I26" s="3"/>
      <c r="N26" s="15"/>
      <c r="P26" s="20">
        <v>900017.0</v>
      </c>
      <c r="Q26" s="20">
        <v>2.841882E7</v>
      </c>
      <c r="R26" s="20" t="s">
        <v>224</v>
      </c>
      <c r="S26" s="20" t="s">
        <v>225</v>
      </c>
      <c r="T26" s="200">
        <v>45027.0</v>
      </c>
      <c r="U26" s="20" t="s">
        <v>226</v>
      </c>
      <c r="V26" s="20" t="s">
        <v>257</v>
      </c>
      <c r="X26" s="20">
        <v>100.0</v>
      </c>
    </row>
    <row r="27" ht="14.25" customHeight="1">
      <c r="F27" s="230"/>
      <c r="I27" s="3"/>
      <c r="J27" s="15"/>
      <c r="K27" s="15"/>
      <c r="N27" s="15"/>
      <c r="O27" s="15"/>
      <c r="P27" s="20">
        <v>900017.0</v>
      </c>
      <c r="Q27" s="20">
        <v>2.841882E7</v>
      </c>
      <c r="R27" s="20" t="s">
        <v>224</v>
      </c>
      <c r="S27" s="20" t="s">
        <v>225</v>
      </c>
      <c r="T27" s="200">
        <v>45027.0</v>
      </c>
      <c r="U27" s="20" t="s">
        <v>226</v>
      </c>
      <c r="V27" s="20" t="s">
        <v>258</v>
      </c>
      <c r="X27" s="20">
        <v>140.0</v>
      </c>
    </row>
    <row r="28" ht="14.25" customHeight="1">
      <c r="F28" s="229"/>
      <c r="I28" s="3"/>
      <c r="J28" s="15"/>
      <c r="K28" s="15"/>
      <c r="L28" s="15"/>
      <c r="N28" s="15"/>
      <c r="O28" s="15"/>
      <c r="P28" s="20">
        <v>900017.0</v>
      </c>
      <c r="Q28" s="20">
        <v>2.841882E7</v>
      </c>
      <c r="R28" s="20" t="s">
        <v>224</v>
      </c>
      <c r="S28" s="20" t="s">
        <v>225</v>
      </c>
      <c r="T28" s="200">
        <v>45027.0</v>
      </c>
      <c r="U28" s="20" t="s">
        <v>226</v>
      </c>
      <c r="V28" s="20" t="s">
        <v>259</v>
      </c>
      <c r="X28" s="20">
        <v>6121.91</v>
      </c>
    </row>
    <row r="29" ht="14.25" customHeight="1">
      <c r="F29" s="229"/>
      <c r="I29" s="3"/>
      <c r="O29" s="15"/>
      <c r="P29" s="20">
        <v>900017.0</v>
      </c>
      <c r="Q29" s="20">
        <v>2.841882E7</v>
      </c>
      <c r="R29" s="20" t="s">
        <v>224</v>
      </c>
      <c r="S29" s="20" t="s">
        <v>225</v>
      </c>
      <c r="T29" s="200">
        <v>45027.0</v>
      </c>
      <c r="U29" s="20" t="s">
        <v>226</v>
      </c>
      <c r="V29" s="20" t="s">
        <v>260</v>
      </c>
      <c r="X29" s="222">
        <v>7288.22</v>
      </c>
    </row>
    <row r="30" ht="14.25" customHeight="1">
      <c r="F30" s="199"/>
      <c r="P30" s="20">
        <v>900017.0</v>
      </c>
      <c r="Q30" s="20">
        <v>2.841882E7</v>
      </c>
      <c r="R30" s="20" t="s">
        <v>224</v>
      </c>
      <c r="S30" s="20" t="s">
        <v>225</v>
      </c>
      <c r="T30" s="200">
        <v>45027.0</v>
      </c>
      <c r="U30" s="20" t="s">
        <v>226</v>
      </c>
      <c r="V30" s="20" t="s">
        <v>261</v>
      </c>
      <c r="X30" s="222">
        <v>4499.41</v>
      </c>
    </row>
    <row r="31" ht="14.25" customHeight="1">
      <c r="F31" s="199"/>
      <c r="P31" s="20">
        <v>900017.0</v>
      </c>
      <c r="Q31" s="20">
        <v>2.841882E7</v>
      </c>
      <c r="R31" s="20" t="s">
        <v>224</v>
      </c>
      <c r="S31" s="20" t="s">
        <v>225</v>
      </c>
      <c r="T31" s="200">
        <v>45027.0</v>
      </c>
      <c r="U31" s="20" t="s">
        <v>226</v>
      </c>
      <c r="V31" s="20" t="s">
        <v>262</v>
      </c>
      <c r="X31" s="222">
        <v>38.1</v>
      </c>
    </row>
    <row r="32" ht="14.25" customHeight="1">
      <c r="F32" s="199"/>
      <c r="P32" s="20">
        <v>900017.0</v>
      </c>
      <c r="Q32" s="20">
        <v>2.841882E7</v>
      </c>
      <c r="R32" s="20" t="s">
        <v>224</v>
      </c>
      <c r="S32" s="20" t="s">
        <v>225</v>
      </c>
      <c r="T32" s="200">
        <v>45027.0</v>
      </c>
      <c r="U32" s="20" t="s">
        <v>226</v>
      </c>
      <c r="V32" s="20" t="s">
        <v>263</v>
      </c>
      <c r="X32" s="222">
        <v>4469.36</v>
      </c>
    </row>
    <row r="33" ht="14.25" customHeight="1">
      <c r="F33" s="199"/>
      <c r="J33" s="15"/>
      <c r="K33" s="15"/>
      <c r="P33" s="20">
        <v>900017.0</v>
      </c>
      <c r="Q33" s="20">
        <v>2.841882E7</v>
      </c>
      <c r="R33" s="20" t="s">
        <v>224</v>
      </c>
      <c r="S33" s="20" t="s">
        <v>225</v>
      </c>
      <c r="T33" s="200">
        <v>45027.0</v>
      </c>
      <c r="U33" s="20" t="s">
        <v>226</v>
      </c>
      <c r="V33" s="20" t="s">
        <v>264</v>
      </c>
      <c r="X33" s="204">
        <v>3972.29</v>
      </c>
    </row>
    <row r="34" ht="14.25" customHeight="1">
      <c r="F34" s="199"/>
      <c r="P34" s="20">
        <v>900017.0</v>
      </c>
      <c r="Q34" s="20">
        <v>2.841882E7</v>
      </c>
      <c r="R34" s="20" t="s">
        <v>224</v>
      </c>
      <c r="S34" s="20" t="s">
        <v>225</v>
      </c>
      <c r="T34" s="200">
        <v>45027.0</v>
      </c>
      <c r="U34" s="20" t="s">
        <v>226</v>
      </c>
      <c r="V34" s="20" t="s">
        <v>265</v>
      </c>
      <c r="X34" s="204">
        <v>2012.4</v>
      </c>
    </row>
    <row r="35" ht="14.25" customHeight="1">
      <c r="F35" s="199"/>
      <c r="P35" s="20">
        <v>900017.0</v>
      </c>
      <c r="Q35" s="20">
        <v>2.841882E7</v>
      </c>
      <c r="R35" s="20" t="s">
        <v>224</v>
      </c>
      <c r="S35" s="20" t="s">
        <v>225</v>
      </c>
      <c r="T35" s="200">
        <v>45027.0</v>
      </c>
      <c r="U35" s="20" t="s">
        <v>226</v>
      </c>
      <c r="V35" s="20" t="s">
        <v>266</v>
      </c>
      <c r="X35" s="204">
        <v>153.56</v>
      </c>
    </row>
    <row r="36" ht="14.25" customHeight="1">
      <c r="F36" s="199"/>
      <c r="P36" s="20">
        <v>900017.0</v>
      </c>
      <c r="Q36" s="20">
        <v>2.841882E7</v>
      </c>
      <c r="R36" s="20" t="s">
        <v>224</v>
      </c>
      <c r="S36" s="20" t="s">
        <v>225</v>
      </c>
      <c r="T36" s="200">
        <v>45027.0</v>
      </c>
      <c r="U36" s="20" t="s">
        <v>226</v>
      </c>
      <c r="V36" s="20" t="s">
        <v>267</v>
      </c>
      <c r="X36" s="204">
        <v>124.4</v>
      </c>
    </row>
    <row r="37" ht="14.25" customHeight="1">
      <c r="F37" s="199"/>
    </row>
    <row r="38" ht="14.25" customHeight="1">
      <c r="F38" s="199"/>
    </row>
    <row r="39" ht="14.25" customHeight="1">
      <c r="F39" s="199"/>
    </row>
    <row r="40" ht="14.25" customHeight="1">
      <c r="F40" s="199"/>
    </row>
    <row r="41" ht="14.25" customHeight="1">
      <c r="F41" s="199"/>
    </row>
    <row r="42" ht="14.25" customHeight="1">
      <c r="F42" s="199"/>
    </row>
    <row r="43" ht="14.25" customHeight="1">
      <c r="F43" s="199"/>
    </row>
    <row r="44" ht="14.25" customHeight="1">
      <c r="F44" s="199"/>
    </row>
    <row r="45" ht="14.25" customHeight="1">
      <c r="F45" s="199"/>
    </row>
    <row r="46" ht="14.25" customHeight="1">
      <c r="F46" s="199"/>
    </row>
    <row r="47" ht="14.25" customHeight="1">
      <c r="F47" s="199"/>
    </row>
    <row r="48" ht="14.25" customHeight="1">
      <c r="F48" s="199"/>
    </row>
    <row r="49" ht="14.25" customHeight="1">
      <c r="F49" s="199"/>
    </row>
    <row r="50" ht="14.25" customHeight="1">
      <c r="F50" s="199"/>
    </row>
    <row r="51" ht="14.25" customHeight="1">
      <c r="F51" s="199"/>
    </row>
    <row r="52" ht="14.25" customHeight="1">
      <c r="F52" s="199"/>
    </row>
    <row r="53" ht="14.25" customHeight="1">
      <c r="F53" s="199"/>
    </row>
    <row r="54" ht="14.25" customHeight="1">
      <c r="F54" s="199"/>
    </row>
    <row r="55" ht="14.25" customHeight="1">
      <c r="F55" s="199"/>
    </row>
    <row r="56" ht="14.25" customHeight="1">
      <c r="F56" s="199"/>
    </row>
    <row r="57" ht="14.25" customHeight="1">
      <c r="F57" s="199"/>
    </row>
    <row r="58" ht="14.25" customHeight="1">
      <c r="F58" s="199"/>
    </row>
    <row r="59" ht="14.25" customHeight="1">
      <c r="F59" s="199"/>
    </row>
    <row r="60" ht="14.25" customHeight="1">
      <c r="F60" s="199"/>
    </row>
    <row r="61" ht="14.25" customHeight="1">
      <c r="F61" s="199"/>
    </row>
    <row r="62" ht="14.25" customHeight="1">
      <c r="F62" s="199"/>
    </row>
    <row r="63" ht="14.25" customHeight="1">
      <c r="F63" s="199"/>
    </row>
    <row r="64" ht="14.25" customHeight="1">
      <c r="F64" s="199"/>
    </row>
    <row r="65" ht="14.25" customHeight="1">
      <c r="F65" s="199"/>
    </row>
    <row r="66" ht="14.25" customHeight="1">
      <c r="F66" s="199"/>
    </row>
    <row r="67" ht="14.25" customHeight="1">
      <c r="F67" s="199"/>
    </row>
    <row r="68" ht="14.25" customHeight="1">
      <c r="F68" s="199"/>
    </row>
    <row r="69" ht="14.25" customHeight="1">
      <c r="F69" s="199"/>
    </row>
    <row r="70" ht="14.25" customHeight="1">
      <c r="F70" s="199"/>
    </row>
    <row r="71" ht="14.25" customHeight="1">
      <c r="F71" s="199"/>
    </row>
    <row r="72" ht="14.25" customHeight="1">
      <c r="F72" s="199"/>
    </row>
    <row r="73" ht="14.25" customHeight="1">
      <c r="F73" s="199"/>
    </row>
    <row r="74" ht="14.25" customHeight="1">
      <c r="F74" s="199"/>
    </row>
    <row r="75" ht="14.25" customHeight="1">
      <c r="F75" s="199"/>
    </row>
    <row r="76" ht="14.25" customHeight="1">
      <c r="F76" s="199"/>
    </row>
    <row r="77" ht="14.25" customHeight="1">
      <c r="F77" s="199"/>
    </row>
    <row r="78" ht="14.25" customHeight="1">
      <c r="F78" s="199"/>
    </row>
    <row r="79" ht="14.25" customHeight="1">
      <c r="F79" s="199"/>
    </row>
    <row r="80" ht="14.25" customHeight="1">
      <c r="F80" s="199"/>
    </row>
    <row r="81" ht="14.25" customHeight="1">
      <c r="F81" s="199"/>
    </row>
    <row r="82" ht="14.25" customHeight="1">
      <c r="F82" s="199"/>
    </row>
    <row r="83" ht="14.25" customHeight="1">
      <c r="F83" s="199"/>
    </row>
    <row r="84" ht="14.25" customHeight="1">
      <c r="F84" s="199"/>
    </row>
    <row r="85" ht="14.25" customHeight="1">
      <c r="F85" s="199"/>
    </row>
    <row r="86" ht="14.25" customHeight="1">
      <c r="F86" s="199"/>
    </row>
    <row r="87" ht="14.25" customHeight="1">
      <c r="F87" s="199"/>
    </row>
    <row r="88" ht="14.25" customHeight="1">
      <c r="F88" s="199"/>
    </row>
    <row r="89" ht="14.25" customHeight="1">
      <c r="F89" s="199"/>
    </row>
    <row r="90" ht="14.25" customHeight="1">
      <c r="F90" s="199"/>
    </row>
    <row r="91" ht="14.25" customHeight="1">
      <c r="F91" s="199"/>
    </row>
    <row r="92" ht="14.25" customHeight="1">
      <c r="F92" s="199"/>
    </row>
    <row r="93" ht="14.25" customHeight="1">
      <c r="F93" s="199"/>
    </row>
    <row r="94" ht="14.25" customHeight="1">
      <c r="F94" s="199"/>
    </row>
    <row r="95" ht="14.25" customHeight="1">
      <c r="F95" s="199"/>
    </row>
    <row r="96" ht="14.25" customHeight="1">
      <c r="F96" s="199"/>
    </row>
    <row r="97" ht="14.25" customHeight="1">
      <c r="F97" s="199"/>
    </row>
    <row r="98" ht="14.25" customHeight="1">
      <c r="F98" s="199"/>
    </row>
    <row r="99" ht="14.25" customHeight="1">
      <c r="F99" s="199"/>
    </row>
    <row r="100" ht="14.25" customHeight="1">
      <c r="F100" s="199"/>
    </row>
    <row r="101" ht="14.25" customHeight="1">
      <c r="F101" s="199"/>
    </row>
    <row r="102" ht="14.25" customHeight="1">
      <c r="F102" s="199"/>
    </row>
    <row r="103" ht="14.25" customHeight="1">
      <c r="F103" s="199"/>
    </row>
    <row r="104" ht="14.25" customHeight="1">
      <c r="F104" s="199"/>
    </row>
    <row r="105" ht="14.25" customHeight="1">
      <c r="F105" s="199"/>
    </row>
    <row r="106" ht="14.25" customHeight="1">
      <c r="F106" s="199"/>
    </row>
    <row r="107" ht="14.25" customHeight="1">
      <c r="F107" s="199"/>
    </row>
    <row r="108" ht="14.25" customHeight="1">
      <c r="F108" s="199"/>
    </row>
    <row r="109" ht="14.25" customHeight="1">
      <c r="F109" s="199"/>
    </row>
    <row r="110" ht="14.25" customHeight="1">
      <c r="F110" s="199"/>
    </row>
    <row r="111" ht="14.25" customHeight="1">
      <c r="F111" s="199"/>
    </row>
    <row r="112" ht="14.25" customHeight="1">
      <c r="F112" s="199"/>
    </row>
    <row r="113" ht="14.25" customHeight="1">
      <c r="F113" s="199"/>
    </row>
    <row r="114" ht="14.25" customHeight="1">
      <c r="F114" s="199"/>
    </row>
    <row r="115" ht="14.25" customHeight="1">
      <c r="F115" s="199"/>
    </row>
    <row r="116" ht="14.25" customHeight="1">
      <c r="F116" s="199"/>
    </row>
    <row r="117" ht="14.25" customHeight="1">
      <c r="F117" s="199"/>
    </row>
    <row r="118" ht="14.25" customHeight="1">
      <c r="F118" s="199"/>
    </row>
    <row r="119" ht="14.25" customHeight="1">
      <c r="F119" s="199"/>
    </row>
    <row r="120" ht="14.25" customHeight="1">
      <c r="F120" s="199"/>
    </row>
    <row r="121" ht="14.25" customHeight="1">
      <c r="F121" s="199"/>
    </row>
    <row r="122" ht="14.25" customHeight="1">
      <c r="F122" s="199"/>
    </row>
    <row r="123" ht="14.25" customHeight="1">
      <c r="F123" s="199"/>
    </row>
    <row r="124" ht="14.25" customHeight="1">
      <c r="F124" s="199"/>
    </row>
    <row r="125" ht="14.25" customHeight="1">
      <c r="F125" s="199"/>
    </row>
    <row r="126" ht="14.25" customHeight="1">
      <c r="F126" s="199"/>
    </row>
    <row r="127" ht="14.25" customHeight="1">
      <c r="F127" s="199"/>
    </row>
    <row r="128" ht="14.25" customHeight="1">
      <c r="F128" s="199"/>
    </row>
    <row r="129" ht="14.25" customHeight="1">
      <c r="F129" s="199"/>
    </row>
    <row r="130" ht="14.25" customHeight="1">
      <c r="F130" s="199"/>
    </row>
    <row r="131" ht="14.25" customHeight="1">
      <c r="F131" s="199"/>
    </row>
    <row r="132" ht="14.25" customHeight="1">
      <c r="F132" s="199"/>
    </row>
    <row r="133" ht="14.25" customHeight="1">
      <c r="F133" s="199"/>
    </row>
    <row r="134" ht="14.25" customHeight="1">
      <c r="F134" s="199"/>
    </row>
    <row r="135" ht="14.25" customHeight="1">
      <c r="F135" s="199"/>
    </row>
    <row r="136" ht="14.25" customHeight="1">
      <c r="F136" s="199"/>
    </row>
    <row r="137" ht="14.25" customHeight="1">
      <c r="F137" s="199"/>
    </row>
    <row r="138" ht="14.25" customHeight="1">
      <c r="F138" s="199"/>
    </row>
    <row r="139" ht="14.25" customHeight="1">
      <c r="F139" s="199"/>
    </row>
    <row r="140" ht="14.25" customHeight="1">
      <c r="F140" s="199"/>
    </row>
    <row r="141" ht="14.25" customHeight="1">
      <c r="F141" s="199"/>
    </row>
    <row r="142" ht="14.25" customHeight="1">
      <c r="F142" s="199"/>
    </row>
    <row r="143" ht="14.25" customHeight="1">
      <c r="F143" s="199"/>
    </row>
    <row r="144" ht="14.25" customHeight="1">
      <c r="F144" s="199"/>
    </row>
    <row r="145" ht="14.25" customHeight="1">
      <c r="F145" s="199"/>
    </row>
    <row r="146" ht="14.25" customHeight="1">
      <c r="F146" s="199"/>
    </row>
    <row r="147" ht="14.25" customHeight="1">
      <c r="F147" s="199"/>
    </row>
    <row r="148" ht="14.25" customHeight="1">
      <c r="F148" s="199"/>
    </row>
    <row r="149" ht="14.25" customHeight="1">
      <c r="F149" s="199"/>
    </row>
    <row r="150" ht="14.25" customHeight="1">
      <c r="F150" s="199"/>
    </row>
    <row r="151" ht="14.25" customHeight="1">
      <c r="F151" s="199"/>
    </row>
    <row r="152" ht="14.25" customHeight="1">
      <c r="F152" s="199"/>
    </row>
    <row r="153" ht="14.25" customHeight="1">
      <c r="F153" s="199"/>
    </row>
    <row r="154" ht="14.25" customHeight="1">
      <c r="F154" s="199"/>
    </row>
    <row r="155" ht="14.25" customHeight="1">
      <c r="F155" s="199"/>
    </row>
    <row r="156" ht="14.25" customHeight="1">
      <c r="F156" s="199"/>
    </row>
    <row r="157" ht="14.25" customHeight="1">
      <c r="F157" s="199"/>
    </row>
    <row r="158" ht="14.25" customHeight="1">
      <c r="F158" s="199"/>
    </row>
    <row r="159" ht="14.25" customHeight="1">
      <c r="F159" s="199"/>
    </row>
    <row r="160" ht="14.25" customHeight="1">
      <c r="F160" s="199"/>
    </row>
    <row r="161" ht="14.25" customHeight="1">
      <c r="F161" s="199"/>
    </row>
    <row r="162" ht="14.25" customHeight="1">
      <c r="F162" s="199"/>
    </row>
    <row r="163" ht="14.25" customHeight="1">
      <c r="F163" s="199"/>
    </row>
    <row r="164" ht="14.25" customHeight="1">
      <c r="F164" s="199"/>
    </row>
    <row r="165" ht="14.25" customHeight="1">
      <c r="F165" s="199"/>
    </row>
    <row r="166" ht="14.25" customHeight="1">
      <c r="F166" s="199"/>
    </row>
    <row r="167" ht="14.25" customHeight="1">
      <c r="F167" s="199"/>
    </row>
    <row r="168" ht="14.25" customHeight="1">
      <c r="F168" s="199"/>
    </row>
    <row r="169" ht="14.25" customHeight="1">
      <c r="F169" s="199"/>
    </row>
    <row r="170" ht="14.25" customHeight="1">
      <c r="F170" s="199"/>
    </row>
    <row r="171" ht="14.25" customHeight="1">
      <c r="F171" s="199"/>
    </row>
    <row r="172" ht="14.25" customHeight="1">
      <c r="F172" s="199"/>
    </row>
    <row r="173" ht="14.25" customHeight="1">
      <c r="F173" s="199"/>
    </row>
    <row r="174" ht="14.25" customHeight="1">
      <c r="F174" s="199"/>
    </row>
    <row r="175" ht="14.25" customHeight="1">
      <c r="F175" s="199"/>
    </row>
    <row r="176" ht="14.25" customHeight="1">
      <c r="F176" s="199"/>
    </row>
    <row r="177" ht="14.25" customHeight="1">
      <c r="F177" s="199"/>
    </row>
    <row r="178" ht="14.25" customHeight="1">
      <c r="F178" s="199"/>
    </row>
    <row r="179" ht="14.25" customHeight="1">
      <c r="F179" s="199"/>
    </row>
    <row r="180" ht="14.25" customHeight="1">
      <c r="F180" s="199"/>
    </row>
    <row r="181" ht="14.25" customHeight="1">
      <c r="F181" s="199"/>
    </row>
    <row r="182" ht="14.25" customHeight="1">
      <c r="F182" s="199"/>
    </row>
    <row r="183" ht="14.25" customHeight="1">
      <c r="F183" s="199"/>
    </row>
    <row r="184" ht="14.25" customHeight="1">
      <c r="F184" s="199"/>
    </row>
    <row r="185" ht="14.25" customHeight="1">
      <c r="F185" s="199"/>
    </row>
    <row r="186" ht="14.25" customHeight="1">
      <c r="F186" s="199"/>
    </row>
    <row r="187" ht="14.25" customHeight="1">
      <c r="F187" s="199"/>
    </row>
    <row r="188" ht="14.25" customHeight="1">
      <c r="F188" s="199"/>
    </row>
    <row r="189" ht="14.25" customHeight="1">
      <c r="F189" s="199"/>
    </row>
    <row r="190" ht="14.25" customHeight="1">
      <c r="F190" s="199"/>
    </row>
    <row r="191" ht="14.25" customHeight="1">
      <c r="F191" s="199"/>
    </row>
    <row r="192" ht="14.25" customHeight="1">
      <c r="F192" s="199"/>
    </row>
    <row r="193" ht="14.25" customHeight="1">
      <c r="F193" s="199"/>
    </row>
    <row r="194" ht="14.25" customHeight="1">
      <c r="F194" s="199"/>
    </row>
    <row r="195" ht="14.25" customHeight="1">
      <c r="F195" s="199"/>
    </row>
    <row r="196" ht="14.25" customHeight="1">
      <c r="F196" s="199"/>
    </row>
    <row r="197" ht="14.25" customHeight="1">
      <c r="F197" s="199"/>
    </row>
    <row r="198" ht="14.25" customHeight="1">
      <c r="F198" s="199"/>
    </row>
    <row r="199" ht="14.25" customHeight="1">
      <c r="F199" s="199"/>
    </row>
    <row r="200" ht="14.25" customHeight="1">
      <c r="F200" s="199"/>
    </row>
    <row r="201" ht="14.25" customHeight="1">
      <c r="F201" s="199"/>
    </row>
    <row r="202" ht="14.25" customHeight="1">
      <c r="F202" s="199"/>
    </row>
    <row r="203" ht="14.25" customHeight="1">
      <c r="F203" s="199"/>
    </row>
    <row r="204" ht="14.25" customHeight="1">
      <c r="F204" s="199"/>
    </row>
    <row r="205" ht="14.25" customHeight="1">
      <c r="F205" s="199"/>
    </row>
    <row r="206" ht="14.25" customHeight="1">
      <c r="F206" s="199"/>
    </row>
    <row r="207" ht="14.25" customHeight="1">
      <c r="F207" s="199"/>
    </row>
    <row r="208" ht="14.25" customHeight="1">
      <c r="F208" s="199"/>
    </row>
    <row r="209" ht="14.25" customHeight="1">
      <c r="F209" s="199"/>
    </row>
    <row r="210" ht="14.25" customHeight="1">
      <c r="F210" s="199"/>
    </row>
    <row r="211" ht="14.25" customHeight="1">
      <c r="F211" s="199"/>
    </row>
    <row r="212" ht="14.25" customHeight="1">
      <c r="F212" s="199"/>
    </row>
    <row r="213" ht="14.25" customHeight="1">
      <c r="F213" s="199"/>
    </row>
    <row r="214" ht="14.25" customHeight="1">
      <c r="F214" s="199"/>
    </row>
    <row r="215" ht="14.25" customHeight="1">
      <c r="F215" s="199"/>
    </row>
    <row r="216" ht="14.25" customHeight="1">
      <c r="F216" s="199"/>
    </row>
    <row r="217" ht="14.25" customHeight="1">
      <c r="F217" s="199"/>
    </row>
    <row r="218" ht="14.25" customHeight="1">
      <c r="F218" s="199"/>
    </row>
    <row r="219" ht="14.25" customHeight="1">
      <c r="F219" s="199"/>
    </row>
    <row r="220" ht="14.25" customHeight="1">
      <c r="F220" s="199"/>
    </row>
    <row r="221" ht="14.25" customHeight="1">
      <c r="F221" s="199"/>
    </row>
    <row r="222" ht="14.25" customHeight="1">
      <c r="F222" s="199"/>
    </row>
    <row r="223" ht="14.25" customHeight="1">
      <c r="F223" s="199"/>
    </row>
    <row r="224" ht="14.25" customHeight="1">
      <c r="F224" s="199"/>
    </row>
    <row r="225" ht="14.25" customHeight="1">
      <c r="F225" s="199"/>
    </row>
    <row r="226" ht="14.25" customHeight="1">
      <c r="F226" s="199"/>
    </row>
    <row r="227" ht="14.25" customHeight="1">
      <c r="F227" s="199"/>
    </row>
    <row r="228" ht="14.25" customHeight="1">
      <c r="F228" s="199"/>
    </row>
    <row r="229" ht="14.25" customHeight="1">
      <c r="F229" s="199"/>
    </row>
    <row r="230" ht="14.25" customHeight="1">
      <c r="F230" s="199"/>
    </row>
    <row r="231" ht="14.25" customHeight="1">
      <c r="F231" s="199"/>
    </row>
    <row r="232" ht="14.25" customHeight="1">
      <c r="F232" s="199"/>
    </row>
    <row r="233" ht="14.25" customHeight="1">
      <c r="F233" s="199"/>
    </row>
    <row r="234" ht="14.25" customHeight="1">
      <c r="F234" s="199"/>
    </row>
    <row r="235" ht="14.25" customHeight="1">
      <c r="F235" s="199"/>
    </row>
    <row r="236" ht="14.25" customHeight="1">
      <c r="F236" s="199"/>
    </row>
    <row r="237" ht="14.25" customHeight="1">
      <c r="F237" s="199"/>
    </row>
    <row r="238" ht="14.25" customHeight="1">
      <c r="F238" s="199"/>
    </row>
    <row r="239" ht="14.25" customHeight="1">
      <c r="F239" s="199"/>
    </row>
    <row r="240" ht="14.25" customHeight="1">
      <c r="F240" s="199"/>
    </row>
    <row r="241" ht="14.25" customHeight="1">
      <c r="F241" s="199"/>
    </row>
    <row r="242" ht="14.25" customHeight="1">
      <c r="F242" s="199"/>
    </row>
    <row r="243" ht="14.25" customHeight="1">
      <c r="F243" s="199"/>
    </row>
    <row r="244" ht="14.25" customHeight="1">
      <c r="F244" s="199"/>
    </row>
    <row r="245" ht="14.25" customHeight="1">
      <c r="F245" s="199"/>
    </row>
    <row r="246" ht="14.25" customHeight="1">
      <c r="F246" s="199"/>
    </row>
    <row r="247" ht="14.25" customHeight="1">
      <c r="F247" s="199"/>
    </row>
    <row r="248" ht="14.25" customHeight="1">
      <c r="F248" s="199"/>
    </row>
    <row r="249" ht="14.25" customHeight="1">
      <c r="F249" s="199"/>
    </row>
    <row r="250" ht="14.25" customHeight="1">
      <c r="F250" s="199"/>
    </row>
    <row r="251" ht="14.25" customHeight="1">
      <c r="F251" s="199"/>
    </row>
    <row r="252" ht="14.25" customHeight="1">
      <c r="F252" s="199"/>
    </row>
    <row r="253" ht="14.25" customHeight="1">
      <c r="F253" s="199"/>
    </row>
    <row r="254" ht="14.25" customHeight="1">
      <c r="F254" s="199"/>
    </row>
    <row r="255" ht="14.25" customHeight="1">
      <c r="F255" s="199"/>
    </row>
    <row r="256" ht="14.25" customHeight="1">
      <c r="F256" s="199"/>
    </row>
    <row r="257" ht="14.25" customHeight="1">
      <c r="F257" s="199"/>
    </row>
    <row r="258" ht="14.25" customHeight="1">
      <c r="F258" s="199"/>
    </row>
    <row r="259" ht="14.25" customHeight="1">
      <c r="F259" s="199"/>
    </row>
    <row r="260" ht="14.25" customHeight="1">
      <c r="F260" s="199"/>
    </row>
    <row r="261" ht="14.25" customHeight="1">
      <c r="F261" s="199"/>
    </row>
    <row r="262" ht="14.25" customHeight="1">
      <c r="F262" s="199"/>
    </row>
    <row r="263" ht="14.25" customHeight="1">
      <c r="F263" s="199"/>
    </row>
    <row r="264" ht="14.25" customHeight="1">
      <c r="F264" s="199"/>
    </row>
    <row r="265" ht="14.25" customHeight="1">
      <c r="F265" s="199"/>
    </row>
    <row r="266" ht="14.25" customHeight="1">
      <c r="F266" s="199"/>
    </row>
    <row r="267" ht="14.25" customHeight="1">
      <c r="F267" s="199"/>
    </row>
    <row r="268" ht="14.25" customHeight="1">
      <c r="F268" s="199"/>
    </row>
    <row r="269" ht="14.25" customHeight="1">
      <c r="F269" s="199"/>
    </row>
    <row r="270" ht="14.25" customHeight="1">
      <c r="F270" s="199"/>
    </row>
    <row r="271" ht="14.25" customHeight="1">
      <c r="F271" s="199"/>
    </row>
    <row r="272" ht="14.25" customHeight="1">
      <c r="F272" s="199"/>
    </row>
    <row r="273" ht="14.25" customHeight="1">
      <c r="F273" s="199"/>
    </row>
    <row r="274" ht="14.25" customHeight="1">
      <c r="F274" s="199"/>
    </row>
    <row r="275" ht="14.25" customHeight="1">
      <c r="F275" s="199"/>
    </row>
    <row r="276" ht="14.25" customHeight="1">
      <c r="F276" s="199"/>
    </row>
    <row r="277" ht="14.25" customHeight="1">
      <c r="F277" s="199"/>
    </row>
    <row r="278" ht="14.25" customHeight="1">
      <c r="F278" s="199"/>
    </row>
    <row r="279" ht="14.25" customHeight="1">
      <c r="F279" s="199"/>
    </row>
    <row r="280" ht="14.25" customHeight="1">
      <c r="F280" s="199"/>
    </row>
    <row r="281" ht="14.25" customHeight="1">
      <c r="F281" s="199"/>
    </row>
    <row r="282" ht="14.25" customHeight="1">
      <c r="F282" s="199"/>
    </row>
    <row r="283" ht="14.25" customHeight="1">
      <c r="F283" s="199"/>
    </row>
    <row r="284" ht="14.25" customHeight="1">
      <c r="F284" s="199"/>
    </row>
    <row r="285" ht="14.25" customHeight="1">
      <c r="F285" s="199"/>
    </row>
    <row r="286" ht="14.25" customHeight="1">
      <c r="F286" s="199"/>
    </row>
    <row r="287" ht="14.25" customHeight="1">
      <c r="F287" s="199"/>
    </row>
    <row r="288" ht="14.25" customHeight="1">
      <c r="F288" s="199"/>
    </row>
    <row r="289" ht="14.25" customHeight="1">
      <c r="F289" s="199"/>
    </row>
    <row r="290" ht="14.25" customHeight="1">
      <c r="F290" s="199"/>
    </row>
    <row r="291" ht="14.25" customHeight="1">
      <c r="F291" s="199"/>
    </row>
    <row r="292" ht="14.25" customHeight="1">
      <c r="F292" s="199"/>
    </row>
    <row r="293" ht="14.25" customHeight="1">
      <c r="F293" s="199"/>
    </row>
    <row r="294" ht="14.25" customHeight="1">
      <c r="F294" s="199"/>
    </row>
    <row r="295" ht="14.25" customHeight="1">
      <c r="F295" s="199"/>
    </row>
    <row r="296" ht="14.25" customHeight="1">
      <c r="F296" s="199"/>
    </row>
    <row r="297" ht="14.25" customHeight="1">
      <c r="F297" s="199"/>
    </row>
    <row r="298" ht="14.25" customHeight="1">
      <c r="F298" s="199"/>
    </row>
    <row r="299" ht="14.25" customHeight="1">
      <c r="F299" s="199"/>
    </row>
    <row r="300" ht="14.25" customHeight="1">
      <c r="F300" s="199"/>
    </row>
    <row r="301" ht="14.25" customHeight="1">
      <c r="F301" s="199"/>
    </row>
    <row r="302" ht="14.25" customHeight="1">
      <c r="F302" s="199"/>
    </row>
    <row r="303" ht="14.25" customHeight="1">
      <c r="F303" s="199"/>
    </row>
    <row r="304" ht="14.25" customHeight="1">
      <c r="F304" s="199"/>
    </row>
    <row r="305" ht="14.25" customHeight="1">
      <c r="F305" s="199"/>
    </row>
    <row r="306" ht="14.25" customHeight="1">
      <c r="F306" s="199"/>
    </row>
    <row r="307" ht="14.25" customHeight="1">
      <c r="F307" s="199"/>
    </row>
    <row r="308" ht="14.25" customHeight="1">
      <c r="F308" s="199"/>
    </row>
    <row r="309" ht="14.25" customHeight="1">
      <c r="F309" s="199"/>
    </row>
    <row r="310" ht="14.25" customHeight="1">
      <c r="F310" s="199"/>
    </row>
    <row r="311" ht="14.25" customHeight="1">
      <c r="F311" s="199"/>
    </row>
    <row r="312" ht="14.25" customHeight="1">
      <c r="F312" s="199"/>
    </row>
    <row r="313" ht="14.25" customHeight="1">
      <c r="F313" s="199"/>
    </row>
    <row r="314" ht="14.25" customHeight="1">
      <c r="F314" s="199"/>
    </row>
    <row r="315" ht="14.25" customHeight="1">
      <c r="F315" s="199"/>
    </row>
    <row r="316" ht="14.25" customHeight="1">
      <c r="F316" s="199"/>
    </row>
    <row r="317" ht="14.25" customHeight="1">
      <c r="F317" s="199"/>
    </row>
    <row r="318" ht="14.25" customHeight="1">
      <c r="F318" s="199"/>
    </row>
    <row r="319" ht="14.25" customHeight="1">
      <c r="F319" s="199"/>
    </row>
    <row r="320" ht="14.25" customHeight="1">
      <c r="F320" s="199"/>
    </row>
    <row r="321" ht="14.25" customHeight="1">
      <c r="F321" s="199"/>
    </row>
    <row r="322" ht="14.25" customHeight="1">
      <c r="F322" s="199"/>
    </row>
    <row r="323" ht="14.25" customHeight="1">
      <c r="F323" s="199"/>
    </row>
    <row r="324" ht="14.25" customHeight="1">
      <c r="F324" s="199"/>
    </row>
    <row r="325" ht="14.25" customHeight="1">
      <c r="F325" s="199"/>
    </row>
    <row r="326" ht="14.25" customHeight="1">
      <c r="F326" s="199"/>
    </row>
    <row r="327" ht="14.25" customHeight="1">
      <c r="F327" s="199"/>
    </row>
    <row r="328" ht="14.25" customHeight="1">
      <c r="F328" s="199"/>
    </row>
    <row r="329" ht="14.25" customHeight="1">
      <c r="F329" s="199"/>
    </row>
    <row r="330" ht="14.25" customHeight="1">
      <c r="F330" s="199"/>
    </row>
    <row r="331" ht="14.25" customHeight="1">
      <c r="F331" s="199"/>
    </row>
    <row r="332" ht="14.25" customHeight="1">
      <c r="F332" s="199"/>
    </row>
    <row r="333" ht="14.25" customHeight="1">
      <c r="F333" s="199"/>
    </row>
    <row r="334" ht="14.25" customHeight="1">
      <c r="F334" s="199"/>
    </row>
    <row r="335" ht="14.25" customHeight="1">
      <c r="F335" s="199"/>
    </row>
    <row r="336" ht="14.25" customHeight="1">
      <c r="F336" s="199"/>
    </row>
    <row r="337" ht="14.25" customHeight="1">
      <c r="F337" s="199"/>
    </row>
    <row r="338" ht="14.25" customHeight="1">
      <c r="F338" s="199"/>
    </row>
    <row r="339" ht="14.25" customHeight="1">
      <c r="F339" s="199"/>
    </row>
    <row r="340" ht="14.25" customHeight="1">
      <c r="F340" s="199"/>
    </row>
    <row r="341" ht="14.25" customHeight="1">
      <c r="F341" s="199"/>
    </row>
    <row r="342" ht="14.25" customHeight="1">
      <c r="F342" s="199"/>
    </row>
    <row r="343" ht="14.25" customHeight="1">
      <c r="F343" s="199"/>
    </row>
    <row r="344" ht="14.25" customHeight="1">
      <c r="F344" s="199"/>
    </row>
    <row r="345" ht="14.25" customHeight="1">
      <c r="F345" s="199"/>
    </row>
    <row r="346" ht="14.25" customHeight="1">
      <c r="F346" s="199"/>
    </row>
    <row r="347" ht="14.25" customHeight="1">
      <c r="F347" s="199"/>
    </row>
    <row r="348" ht="14.25" customHeight="1">
      <c r="F348" s="199"/>
    </row>
    <row r="349" ht="14.25" customHeight="1">
      <c r="F349" s="199"/>
    </row>
    <row r="350" ht="14.25" customHeight="1">
      <c r="F350" s="199"/>
    </row>
    <row r="351" ht="14.25" customHeight="1">
      <c r="F351" s="199"/>
    </row>
    <row r="352" ht="14.25" customHeight="1">
      <c r="F352" s="199"/>
    </row>
    <row r="353" ht="14.25" customHeight="1">
      <c r="F353" s="199"/>
    </row>
    <row r="354" ht="14.25" customHeight="1">
      <c r="F354" s="199"/>
    </row>
    <row r="355" ht="14.25" customHeight="1">
      <c r="F355" s="199"/>
    </row>
    <row r="356" ht="14.25" customHeight="1">
      <c r="F356" s="199"/>
    </row>
    <row r="357" ht="14.25" customHeight="1">
      <c r="F357" s="199"/>
    </row>
    <row r="358" ht="14.25" customHeight="1">
      <c r="F358" s="199"/>
    </row>
    <row r="359" ht="14.25" customHeight="1">
      <c r="F359" s="199"/>
    </row>
    <row r="360" ht="14.25" customHeight="1">
      <c r="F360" s="199"/>
    </row>
    <row r="361" ht="14.25" customHeight="1">
      <c r="F361" s="199"/>
    </row>
    <row r="362" ht="14.25" customHeight="1">
      <c r="F362" s="199"/>
    </row>
    <row r="363" ht="14.25" customHeight="1">
      <c r="F363" s="199"/>
    </row>
    <row r="364" ht="14.25" customHeight="1">
      <c r="F364" s="199"/>
    </row>
    <row r="365" ht="14.25" customHeight="1">
      <c r="F365" s="199"/>
    </row>
    <row r="366" ht="14.25" customHeight="1">
      <c r="F366" s="199"/>
    </row>
    <row r="367" ht="14.25" customHeight="1">
      <c r="F367" s="199"/>
    </row>
    <row r="368" ht="14.25" customHeight="1">
      <c r="F368" s="199"/>
    </row>
    <row r="369" ht="14.25" customHeight="1">
      <c r="F369" s="199"/>
    </row>
    <row r="370" ht="14.25" customHeight="1">
      <c r="F370" s="199"/>
    </row>
    <row r="371" ht="14.25" customHeight="1">
      <c r="F371" s="199"/>
    </row>
    <row r="372" ht="14.25" customHeight="1">
      <c r="F372" s="199"/>
    </row>
    <row r="373" ht="14.25" customHeight="1">
      <c r="F373" s="199"/>
    </row>
    <row r="374" ht="14.25" customHeight="1">
      <c r="F374" s="199"/>
    </row>
    <row r="375" ht="14.25" customHeight="1">
      <c r="F375" s="199"/>
    </row>
    <row r="376" ht="14.25" customHeight="1">
      <c r="F376" s="199"/>
    </row>
    <row r="377" ht="14.25" customHeight="1">
      <c r="F377" s="199"/>
    </row>
    <row r="378" ht="14.25" customHeight="1">
      <c r="F378" s="199"/>
    </row>
    <row r="379" ht="14.25" customHeight="1">
      <c r="F379" s="199"/>
    </row>
    <row r="380" ht="14.25" customHeight="1">
      <c r="F380" s="199"/>
    </row>
    <row r="381" ht="14.25" customHeight="1">
      <c r="F381" s="199"/>
    </row>
    <row r="382" ht="14.25" customHeight="1">
      <c r="F382" s="199"/>
    </row>
    <row r="383" ht="14.25" customHeight="1">
      <c r="F383" s="199"/>
    </row>
    <row r="384" ht="14.25" customHeight="1">
      <c r="F384" s="199"/>
    </row>
    <row r="385" ht="14.25" customHeight="1">
      <c r="F385" s="199"/>
    </row>
    <row r="386" ht="14.25" customHeight="1">
      <c r="F386" s="199"/>
    </row>
    <row r="387" ht="14.25" customHeight="1">
      <c r="F387" s="199"/>
    </row>
    <row r="388" ht="14.25" customHeight="1">
      <c r="F388" s="199"/>
    </row>
    <row r="389" ht="14.25" customHeight="1">
      <c r="F389" s="199"/>
    </row>
    <row r="390" ht="14.25" customHeight="1">
      <c r="F390" s="199"/>
    </row>
    <row r="391" ht="14.25" customHeight="1">
      <c r="F391" s="199"/>
    </row>
    <row r="392" ht="14.25" customHeight="1">
      <c r="F392" s="199"/>
    </row>
    <row r="393" ht="14.25" customHeight="1">
      <c r="F393" s="199"/>
    </row>
    <row r="394" ht="14.25" customHeight="1">
      <c r="F394" s="199"/>
    </row>
    <row r="395" ht="14.25" customHeight="1">
      <c r="F395" s="199"/>
    </row>
    <row r="396" ht="14.25" customHeight="1">
      <c r="F396" s="199"/>
    </row>
    <row r="397" ht="14.25" customHeight="1">
      <c r="F397" s="199"/>
    </row>
    <row r="398" ht="14.25" customHeight="1">
      <c r="F398" s="199"/>
    </row>
    <row r="399" ht="14.25" customHeight="1">
      <c r="F399" s="199"/>
    </row>
    <row r="400" ht="14.25" customHeight="1">
      <c r="F400" s="199"/>
    </row>
    <row r="401" ht="14.25" customHeight="1">
      <c r="F401" s="199"/>
    </row>
    <row r="402" ht="14.25" customHeight="1">
      <c r="F402" s="199"/>
    </row>
    <row r="403" ht="14.25" customHeight="1">
      <c r="F403" s="199"/>
    </row>
    <row r="404" ht="14.25" customHeight="1">
      <c r="F404" s="199"/>
    </row>
    <row r="405" ht="14.25" customHeight="1">
      <c r="F405" s="199"/>
    </row>
    <row r="406" ht="14.25" customHeight="1">
      <c r="F406" s="199"/>
    </row>
    <row r="407" ht="14.25" customHeight="1">
      <c r="F407" s="199"/>
    </row>
    <row r="408" ht="14.25" customHeight="1">
      <c r="F408" s="199"/>
    </row>
    <row r="409" ht="14.25" customHeight="1">
      <c r="F409" s="199"/>
    </row>
    <row r="410" ht="14.25" customHeight="1">
      <c r="F410" s="199"/>
    </row>
    <row r="411" ht="14.25" customHeight="1">
      <c r="F411" s="199"/>
    </row>
    <row r="412" ht="14.25" customHeight="1">
      <c r="F412" s="199"/>
    </row>
    <row r="413" ht="14.25" customHeight="1">
      <c r="F413" s="199"/>
    </row>
    <row r="414" ht="14.25" customHeight="1">
      <c r="F414" s="199"/>
    </row>
    <row r="415" ht="14.25" customHeight="1">
      <c r="F415" s="199"/>
    </row>
    <row r="416" ht="14.25" customHeight="1">
      <c r="F416" s="199"/>
    </row>
    <row r="417" ht="14.25" customHeight="1">
      <c r="F417" s="199"/>
    </row>
    <row r="418" ht="14.25" customHeight="1">
      <c r="F418" s="199"/>
    </row>
    <row r="419" ht="14.25" customHeight="1">
      <c r="F419" s="199"/>
    </row>
    <row r="420" ht="14.25" customHeight="1">
      <c r="F420" s="199"/>
    </row>
    <row r="421" ht="14.25" customHeight="1">
      <c r="F421" s="199"/>
    </row>
    <row r="422" ht="14.25" customHeight="1">
      <c r="F422" s="199"/>
    </row>
    <row r="423" ht="14.25" customHeight="1">
      <c r="F423" s="199"/>
    </row>
    <row r="424" ht="14.25" customHeight="1">
      <c r="F424" s="199"/>
    </row>
    <row r="425" ht="14.25" customHeight="1">
      <c r="F425" s="199"/>
    </row>
    <row r="426" ht="14.25" customHeight="1">
      <c r="F426" s="199"/>
    </row>
    <row r="427" ht="14.25" customHeight="1">
      <c r="F427" s="199"/>
    </row>
    <row r="428" ht="14.25" customHeight="1">
      <c r="F428" s="199"/>
    </row>
    <row r="429" ht="14.25" customHeight="1">
      <c r="F429" s="199"/>
    </row>
    <row r="430" ht="14.25" customHeight="1">
      <c r="F430" s="199"/>
    </row>
    <row r="431" ht="14.25" customHeight="1">
      <c r="F431" s="199"/>
    </row>
    <row r="432" ht="14.25" customHeight="1">
      <c r="F432" s="199"/>
    </row>
    <row r="433" ht="14.25" customHeight="1">
      <c r="F433" s="199"/>
    </row>
    <row r="434" ht="14.25" customHeight="1">
      <c r="F434" s="199"/>
    </row>
    <row r="435" ht="14.25" customHeight="1">
      <c r="F435" s="199"/>
    </row>
    <row r="436" ht="14.25" customHeight="1">
      <c r="F436" s="199"/>
    </row>
    <row r="437" ht="14.25" customHeight="1">
      <c r="F437" s="199"/>
    </row>
    <row r="438" ht="14.25" customHeight="1">
      <c r="F438" s="199"/>
    </row>
    <row r="439" ht="14.25" customHeight="1">
      <c r="F439" s="199"/>
    </row>
    <row r="440" ht="14.25" customHeight="1">
      <c r="F440" s="199"/>
    </row>
    <row r="441" ht="14.25" customHeight="1">
      <c r="F441" s="199"/>
    </row>
    <row r="442" ht="14.25" customHeight="1">
      <c r="F442" s="199"/>
    </row>
    <row r="443" ht="14.25" customHeight="1">
      <c r="F443" s="199"/>
    </row>
    <row r="444" ht="14.25" customHeight="1">
      <c r="F444" s="199"/>
    </row>
    <row r="445" ht="14.25" customHeight="1">
      <c r="F445" s="199"/>
    </row>
    <row r="446" ht="14.25" customHeight="1">
      <c r="F446" s="199"/>
    </row>
    <row r="447" ht="14.25" customHeight="1">
      <c r="F447" s="199"/>
    </row>
    <row r="448" ht="14.25" customHeight="1">
      <c r="F448" s="199"/>
    </row>
    <row r="449" ht="14.25" customHeight="1">
      <c r="F449" s="199"/>
    </row>
    <row r="450" ht="14.25" customHeight="1">
      <c r="F450" s="199"/>
    </row>
    <row r="451" ht="14.25" customHeight="1">
      <c r="F451" s="199"/>
    </row>
    <row r="452" ht="14.25" customHeight="1">
      <c r="F452" s="199"/>
    </row>
    <row r="453" ht="14.25" customHeight="1">
      <c r="F453" s="199"/>
    </row>
    <row r="454" ht="14.25" customHeight="1">
      <c r="F454" s="199"/>
    </row>
    <row r="455" ht="14.25" customHeight="1">
      <c r="F455" s="199"/>
    </row>
    <row r="456" ht="14.25" customHeight="1">
      <c r="F456" s="199"/>
    </row>
    <row r="457" ht="14.25" customHeight="1">
      <c r="F457" s="199"/>
    </row>
    <row r="458" ht="14.25" customHeight="1">
      <c r="F458" s="199"/>
    </row>
    <row r="459" ht="14.25" customHeight="1">
      <c r="F459" s="199"/>
    </row>
    <row r="460" ht="14.25" customHeight="1">
      <c r="F460" s="199"/>
    </row>
    <row r="461" ht="14.25" customHeight="1">
      <c r="F461" s="199"/>
    </row>
    <row r="462" ht="14.25" customHeight="1">
      <c r="F462" s="199"/>
    </row>
    <row r="463" ht="14.25" customHeight="1">
      <c r="F463" s="199"/>
    </row>
    <row r="464" ht="14.25" customHeight="1">
      <c r="F464" s="199"/>
    </row>
    <row r="465" ht="14.25" customHeight="1">
      <c r="F465" s="199"/>
    </row>
    <row r="466" ht="14.25" customHeight="1">
      <c r="F466" s="199"/>
    </row>
    <row r="467" ht="14.25" customHeight="1">
      <c r="F467" s="199"/>
    </row>
    <row r="468" ht="14.25" customHeight="1">
      <c r="F468" s="199"/>
    </row>
    <row r="469" ht="14.25" customHeight="1">
      <c r="F469" s="199"/>
    </row>
    <row r="470" ht="14.25" customHeight="1">
      <c r="F470" s="199"/>
    </row>
    <row r="471" ht="14.25" customHeight="1">
      <c r="F471" s="199"/>
    </row>
    <row r="472" ht="14.25" customHeight="1">
      <c r="F472" s="199"/>
    </row>
    <row r="473" ht="14.25" customHeight="1">
      <c r="F473" s="199"/>
    </row>
    <row r="474" ht="14.25" customHeight="1">
      <c r="F474" s="199"/>
    </row>
    <row r="475" ht="14.25" customHeight="1">
      <c r="F475" s="199"/>
    </row>
    <row r="476" ht="14.25" customHeight="1">
      <c r="F476" s="199"/>
    </row>
    <row r="477" ht="14.25" customHeight="1">
      <c r="F477" s="199"/>
    </row>
    <row r="478" ht="14.25" customHeight="1">
      <c r="F478" s="199"/>
    </row>
    <row r="479" ht="14.25" customHeight="1">
      <c r="F479" s="199"/>
    </row>
    <row r="480" ht="14.25" customHeight="1">
      <c r="F480" s="199"/>
    </row>
    <row r="481" ht="14.25" customHeight="1">
      <c r="F481" s="199"/>
    </row>
    <row r="482" ht="14.25" customHeight="1">
      <c r="F482" s="199"/>
    </row>
    <row r="483" ht="14.25" customHeight="1">
      <c r="F483" s="199"/>
    </row>
    <row r="484" ht="14.25" customHeight="1">
      <c r="F484" s="199"/>
    </row>
    <row r="485" ht="14.25" customHeight="1">
      <c r="F485" s="199"/>
    </row>
    <row r="486" ht="14.25" customHeight="1">
      <c r="F486" s="199"/>
    </row>
    <row r="487" ht="14.25" customHeight="1">
      <c r="F487" s="199"/>
    </row>
    <row r="488" ht="14.25" customHeight="1">
      <c r="F488" s="199"/>
    </row>
    <row r="489" ht="14.25" customHeight="1">
      <c r="F489" s="199"/>
    </row>
    <row r="490" ht="14.25" customHeight="1">
      <c r="F490" s="199"/>
    </row>
    <row r="491" ht="14.25" customHeight="1">
      <c r="F491" s="199"/>
    </row>
    <row r="492" ht="14.25" customHeight="1">
      <c r="F492" s="199"/>
    </row>
    <row r="493" ht="14.25" customHeight="1">
      <c r="F493" s="199"/>
    </row>
    <row r="494" ht="14.25" customHeight="1">
      <c r="F494" s="199"/>
    </row>
    <row r="495" ht="14.25" customHeight="1">
      <c r="F495" s="199"/>
    </row>
    <row r="496" ht="14.25" customHeight="1">
      <c r="F496" s="199"/>
    </row>
    <row r="497" ht="14.25" customHeight="1">
      <c r="F497" s="199"/>
    </row>
    <row r="498" ht="14.25" customHeight="1">
      <c r="F498" s="199"/>
    </row>
    <row r="499" ht="14.25" customHeight="1">
      <c r="F499" s="199"/>
    </row>
    <row r="500" ht="14.25" customHeight="1">
      <c r="F500" s="199"/>
    </row>
    <row r="501" ht="14.25" customHeight="1">
      <c r="F501" s="199"/>
    </row>
    <row r="502" ht="14.25" customHeight="1">
      <c r="F502" s="199"/>
    </row>
    <row r="503" ht="14.25" customHeight="1">
      <c r="F503" s="199"/>
    </row>
    <row r="504" ht="14.25" customHeight="1">
      <c r="F504" s="199"/>
    </row>
    <row r="505" ht="14.25" customHeight="1">
      <c r="F505" s="199"/>
    </row>
    <row r="506" ht="14.25" customHeight="1">
      <c r="F506" s="199"/>
    </row>
    <row r="507" ht="14.25" customHeight="1">
      <c r="F507" s="199"/>
    </row>
    <row r="508" ht="14.25" customHeight="1">
      <c r="F508" s="199"/>
    </row>
    <row r="509" ht="14.25" customHeight="1">
      <c r="F509" s="199"/>
    </row>
    <row r="510" ht="14.25" customHeight="1">
      <c r="F510" s="199"/>
    </row>
    <row r="511" ht="14.25" customHeight="1">
      <c r="F511" s="199"/>
    </row>
    <row r="512" ht="14.25" customHeight="1">
      <c r="F512" s="199"/>
    </row>
    <row r="513" ht="14.25" customHeight="1">
      <c r="F513" s="199"/>
    </row>
    <row r="514" ht="14.25" customHeight="1">
      <c r="F514" s="199"/>
    </row>
    <row r="515" ht="14.25" customHeight="1">
      <c r="F515" s="199"/>
    </row>
    <row r="516" ht="14.25" customHeight="1">
      <c r="F516" s="199"/>
    </row>
    <row r="517" ht="14.25" customHeight="1">
      <c r="F517" s="199"/>
    </row>
    <row r="518" ht="14.25" customHeight="1">
      <c r="F518" s="199"/>
    </row>
    <row r="519" ht="14.25" customHeight="1">
      <c r="F519" s="199"/>
    </row>
    <row r="520" ht="14.25" customHeight="1">
      <c r="F520" s="199"/>
    </row>
    <row r="521" ht="14.25" customHeight="1">
      <c r="F521" s="199"/>
    </row>
    <row r="522" ht="14.25" customHeight="1">
      <c r="F522" s="199"/>
    </row>
    <row r="523" ht="14.25" customHeight="1">
      <c r="F523" s="199"/>
    </row>
    <row r="524" ht="14.25" customHeight="1">
      <c r="F524" s="199"/>
    </row>
    <row r="525" ht="14.25" customHeight="1">
      <c r="F525" s="199"/>
    </row>
    <row r="526" ht="14.25" customHeight="1">
      <c r="F526" s="199"/>
    </row>
    <row r="527" ht="14.25" customHeight="1">
      <c r="F527" s="199"/>
    </row>
    <row r="528" ht="14.25" customHeight="1">
      <c r="F528" s="199"/>
    </row>
    <row r="529" ht="14.25" customHeight="1">
      <c r="F529" s="199"/>
    </row>
    <row r="530" ht="14.25" customHeight="1">
      <c r="F530" s="199"/>
    </row>
    <row r="531" ht="14.25" customHeight="1">
      <c r="F531" s="199"/>
    </row>
    <row r="532" ht="14.25" customHeight="1">
      <c r="F532" s="199"/>
    </row>
    <row r="533" ht="14.25" customHeight="1">
      <c r="F533" s="199"/>
    </row>
    <row r="534" ht="14.25" customHeight="1">
      <c r="F534" s="199"/>
    </row>
    <row r="535" ht="14.25" customHeight="1">
      <c r="F535" s="199"/>
    </row>
    <row r="536" ht="14.25" customHeight="1">
      <c r="F536" s="199"/>
    </row>
    <row r="537" ht="14.25" customHeight="1">
      <c r="F537" s="199"/>
    </row>
    <row r="538" ht="14.25" customHeight="1">
      <c r="F538" s="199"/>
    </row>
    <row r="539" ht="14.25" customHeight="1">
      <c r="F539" s="199"/>
    </row>
    <row r="540" ht="14.25" customHeight="1">
      <c r="F540" s="199"/>
    </row>
    <row r="541" ht="14.25" customHeight="1">
      <c r="F541" s="199"/>
    </row>
    <row r="542" ht="14.25" customHeight="1">
      <c r="F542" s="199"/>
    </row>
    <row r="543" ht="14.25" customHeight="1">
      <c r="F543" s="199"/>
    </row>
    <row r="544" ht="14.25" customHeight="1">
      <c r="F544" s="199"/>
    </row>
    <row r="545" ht="14.25" customHeight="1">
      <c r="F545" s="199"/>
    </row>
    <row r="546" ht="14.25" customHeight="1">
      <c r="F546" s="199"/>
    </row>
    <row r="547" ht="14.25" customHeight="1">
      <c r="F547" s="199"/>
    </row>
    <row r="548" ht="14.25" customHeight="1">
      <c r="F548" s="199"/>
    </row>
    <row r="549" ht="14.25" customHeight="1">
      <c r="F549" s="199"/>
    </row>
    <row r="550" ht="14.25" customHeight="1">
      <c r="F550" s="199"/>
    </row>
    <row r="551" ht="14.25" customHeight="1">
      <c r="F551" s="199"/>
    </row>
    <row r="552" ht="14.25" customHeight="1">
      <c r="F552" s="199"/>
    </row>
    <row r="553" ht="14.25" customHeight="1">
      <c r="F553" s="199"/>
    </row>
    <row r="554" ht="14.25" customHeight="1">
      <c r="F554" s="199"/>
    </row>
    <row r="555" ht="14.25" customHeight="1">
      <c r="F555" s="199"/>
    </row>
    <row r="556" ht="14.25" customHeight="1">
      <c r="F556" s="199"/>
    </row>
    <row r="557" ht="14.25" customHeight="1">
      <c r="F557" s="199"/>
    </row>
    <row r="558" ht="14.25" customHeight="1">
      <c r="F558" s="199"/>
    </row>
    <row r="559" ht="14.25" customHeight="1">
      <c r="F559" s="199"/>
    </row>
    <row r="560" ht="14.25" customHeight="1">
      <c r="F560" s="199"/>
    </row>
    <row r="561" ht="14.25" customHeight="1">
      <c r="F561" s="199"/>
    </row>
    <row r="562" ht="14.25" customHeight="1">
      <c r="F562" s="199"/>
    </row>
    <row r="563" ht="14.25" customHeight="1">
      <c r="F563" s="199"/>
    </row>
    <row r="564" ht="14.25" customHeight="1">
      <c r="F564" s="199"/>
    </row>
    <row r="565" ht="14.25" customHeight="1">
      <c r="F565" s="199"/>
    </row>
    <row r="566" ht="14.25" customHeight="1">
      <c r="F566" s="199"/>
    </row>
    <row r="567" ht="14.25" customHeight="1">
      <c r="F567" s="199"/>
    </row>
    <row r="568" ht="14.25" customHeight="1">
      <c r="F568" s="199"/>
    </row>
    <row r="569" ht="14.25" customHeight="1">
      <c r="F569" s="199"/>
    </row>
    <row r="570" ht="14.25" customHeight="1">
      <c r="F570" s="199"/>
    </row>
    <row r="571" ht="14.25" customHeight="1">
      <c r="F571" s="199"/>
    </row>
    <row r="572" ht="14.25" customHeight="1">
      <c r="F572" s="199"/>
    </row>
    <row r="573" ht="14.25" customHeight="1">
      <c r="F573" s="199"/>
    </row>
    <row r="574" ht="14.25" customHeight="1">
      <c r="F574" s="199"/>
    </row>
    <row r="575" ht="14.25" customHeight="1">
      <c r="F575" s="199"/>
    </row>
    <row r="576" ht="14.25" customHeight="1">
      <c r="F576" s="199"/>
    </row>
    <row r="577" ht="14.25" customHeight="1">
      <c r="F577" s="199"/>
    </row>
    <row r="578" ht="14.25" customHeight="1">
      <c r="F578" s="199"/>
    </row>
    <row r="579" ht="14.25" customHeight="1">
      <c r="F579" s="199"/>
    </row>
    <row r="580" ht="14.25" customHeight="1">
      <c r="F580" s="199"/>
    </row>
    <row r="581" ht="14.25" customHeight="1">
      <c r="F581" s="199"/>
    </row>
    <row r="582" ht="14.25" customHeight="1">
      <c r="F582" s="199"/>
    </row>
    <row r="583" ht="14.25" customHeight="1">
      <c r="F583" s="199"/>
    </row>
    <row r="584" ht="14.25" customHeight="1">
      <c r="F584" s="199"/>
    </row>
    <row r="585" ht="14.25" customHeight="1">
      <c r="F585" s="199"/>
    </row>
    <row r="586" ht="14.25" customHeight="1">
      <c r="F586" s="199"/>
    </row>
    <row r="587" ht="14.25" customHeight="1">
      <c r="F587" s="199"/>
    </row>
    <row r="588" ht="14.25" customHeight="1">
      <c r="F588" s="199"/>
    </row>
    <row r="589" ht="14.25" customHeight="1">
      <c r="F589" s="199"/>
    </row>
    <row r="590" ht="14.25" customHeight="1">
      <c r="F590" s="199"/>
    </row>
    <row r="591" ht="14.25" customHeight="1">
      <c r="F591" s="199"/>
    </row>
    <row r="592" ht="14.25" customHeight="1">
      <c r="F592" s="199"/>
    </row>
    <row r="593" ht="14.25" customHeight="1">
      <c r="F593" s="199"/>
    </row>
    <row r="594" ht="14.25" customHeight="1">
      <c r="F594" s="199"/>
    </row>
    <row r="595" ht="14.25" customHeight="1">
      <c r="F595" s="199"/>
    </row>
    <row r="596" ht="14.25" customHeight="1">
      <c r="F596" s="199"/>
    </row>
    <row r="597" ht="14.25" customHeight="1">
      <c r="F597" s="199"/>
    </row>
    <row r="598" ht="14.25" customHeight="1">
      <c r="F598" s="199"/>
    </row>
    <row r="599" ht="14.25" customHeight="1">
      <c r="F599" s="199"/>
    </row>
    <row r="600" ht="14.25" customHeight="1">
      <c r="F600" s="199"/>
    </row>
    <row r="601" ht="14.25" customHeight="1">
      <c r="F601" s="199"/>
    </row>
    <row r="602" ht="14.25" customHeight="1">
      <c r="F602" s="199"/>
    </row>
    <row r="603" ht="14.25" customHeight="1">
      <c r="F603" s="199"/>
    </row>
    <row r="604" ht="14.25" customHeight="1">
      <c r="F604" s="199"/>
    </row>
    <row r="605" ht="14.25" customHeight="1">
      <c r="F605" s="199"/>
    </row>
    <row r="606" ht="14.25" customHeight="1">
      <c r="F606" s="199"/>
    </row>
    <row r="607" ht="14.25" customHeight="1">
      <c r="F607" s="199"/>
    </row>
    <row r="608" ht="14.25" customHeight="1">
      <c r="F608" s="199"/>
    </row>
    <row r="609" ht="14.25" customHeight="1">
      <c r="F609" s="199"/>
    </row>
    <row r="610" ht="14.25" customHeight="1">
      <c r="F610" s="199"/>
    </row>
    <row r="611" ht="14.25" customHeight="1">
      <c r="F611" s="199"/>
    </row>
    <row r="612" ht="14.25" customHeight="1">
      <c r="F612" s="199"/>
    </row>
    <row r="613" ht="14.25" customHeight="1">
      <c r="F613" s="199"/>
    </row>
    <row r="614" ht="14.25" customHeight="1">
      <c r="F614" s="199"/>
    </row>
    <row r="615" ht="14.25" customHeight="1">
      <c r="F615" s="199"/>
    </row>
    <row r="616" ht="14.25" customHeight="1">
      <c r="F616" s="199"/>
    </row>
    <row r="617" ht="14.25" customHeight="1">
      <c r="F617" s="199"/>
    </row>
    <row r="618" ht="14.25" customHeight="1">
      <c r="F618" s="199"/>
    </row>
    <row r="619" ht="14.25" customHeight="1">
      <c r="F619" s="199"/>
    </row>
    <row r="620" ht="14.25" customHeight="1">
      <c r="F620" s="199"/>
    </row>
    <row r="621" ht="14.25" customHeight="1">
      <c r="F621" s="199"/>
    </row>
    <row r="622" ht="14.25" customHeight="1">
      <c r="F622" s="199"/>
    </row>
    <row r="623" ht="14.25" customHeight="1">
      <c r="F623" s="199"/>
    </row>
    <row r="624" ht="14.25" customHeight="1">
      <c r="F624" s="199"/>
    </row>
    <row r="625" ht="14.25" customHeight="1">
      <c r="F625" s="199"/>
    </row>
    <row r="626" ht="14.25" customHeight="1">
      <c r="F626" s="199"/>
    </row>
    <row r="627" ht="14.25" customHeight="1">
      <c r="F627" s="199"/>
    </row>
    <row r="628" ht="14.25" customHeight="1">
      <c r="F628" s="199"/>
    </row>
    <row r="629" ht="14.25" customHeight="1">
      <c r="F629" s="199"/>
    </row>
    <row r="630" ht="14.25" customHeight="1">
      <c r="F630" s="199"/>
    </row>
    <row r="631" ht="14.25" customHeight="1">
      <c r="F631" s="199"/>
    </row>
    <row r="632" ht="14.25" customHeight="1">
      <c r="F632" s="199"/>
    </row>
    <row r="633" ht="14.25" customHeight="1">
      <c r="F633" s="199"/>
    </row>
    <row r="634" ht="14.25" customHeight="1">
      <c r="F634" s="199"/>
    </row>
    <row r="635" ht="14.25" customHeight="1">
      <c r="F635" s="199"/>
    </row>
    <row r="636" ht="14.25" customHeight="1">
      <c r="F636" s="199"/>
    </row>
    <row r="637" ht="14.25" customHeight="1">
      <c r="F637" s="199"/>
    </row>
    <row r="638" ht="14.25" customHeight="1">
      <c r="F638" s="199"/>
    </row>
    <row r="639" ht="14.25" customHeight="1">
      <c r="F639" s="199"/>
    </row>
    <row r="640" ht="14.25" customHeight="1">
      <c r="F640" s="199"/>
    </row>
    <row r="641" ht="14.25" customHeight="1">
      <c r="F641" s="199"/>
    </row>
    <row r="642" ht="14.25" customHeight="1">
      <c r="F642" s="199"/>
    </row>
    <row r="643" ht="14.25" customHeight="1">
      <c r="F643" s="199"/>
    </row>
    <row r="644" ht="14.25" customHeight="1">
      <c r="F644" s="199"/>
    </row>
    <row r="645" ht="14.25" customHeight="1">
      <c r="F645" s="199"/>
    </row>
    <row r="646" ht="14.25" customHeight="1">
      <c r="F646" s="199"/>
    </row>
    <row r="647" ht="14.25" customHeight="1">
      <c r="F647" s="199"/>
    </row>
    <row r="648" ht="14.25" customHeight="1">
      <c r="F648" s="199"/>
    </row>
    <row r="649" ht="14.25" customHeight="1">
      <c r="F649" s="199"/>
    </row>
    <row r="650" ht="14.25" customHeight="1">
      <c r="F650" s="199"/>
    </row>
    <row r="651" ht="14.25" customHeight="1">
      <c r="F651" s="199"/>
    </row>
    <row r="652" ht="14.25" customHeight="1">
      <c r="F652" s="199"/>
    </row>
    <row r="653" ht="14.25" customHeight="1">
      <c r="F653" s="199"/>
    </row>
    <row r="654" ht="14.25" customHeight="1">
      <c r="F654" s="199"/>
    </row>
    <row r="655" ht="14.25" customHeight="1">
      <c r="F655" s="199"/>
    </row>
    <row r="656" ht="14.25" customHeight="1">
      <c r="F656" s="199"/>
    </row>
    <row r="657" ht="14.25" customHeight="1">
      <c r="F657" s="199"/>
    </row>
    <row r="658" ht="14.25" customHeight="1">
      <c r="F658" s="199"/>
    </row>
    <row r="659" ht="14.25" customHeight="1">
      <c r="F659" s="199"/>
    </row>
    <row r="660" ht="14.25" customHeight="1">
      <c r="F660" s="199"/>
    </row>
    <row r="661" ht="14.25" customHeight="1">
      <c r="F661" s="199"/>
    </row>
    <row r="662" ht="14.25" customHeight="1">
      <c r="F662" s="199"/>
    </row>
    <row r="663" ht="14.25" customHeight="1">
      <c r="F663" s="199"/>
    </row>
    <row r="664" ht="14.25" customHeight="1">
      <c r="F664" s="199"/>
    </row>
    <row r="665" ht="14.25" customHeight="1">
      <c r="F665" s="199"/>
    </row>
    <row r="666" ht="14.25" customHeight="1">
      <c r="F666" s="199"/>
    </row>
    <row r="667" ht="14.25" customHeight="1">
      <c r="F667" s="199"/>
    </row>
    <row r="668" ht="14.25" customHeight="1">
      <c r="F668" s="199"/>
    </row>
    <row r="669" ht="14.25" customHeight="1">
      <c r="F669" s="199"/>
    </row>
    <row r="670" ht="14.25" customHeight="1">
      <c r="F670" s="199"/>
    </row>
    <row r="671" ht="14.25" customHeight="1">
      <c r="F671" s="199"/>
    </row>
    <row r="672" ht="14.25" customHeight="1">
      <c r="F672" s="199"/>
    </row>
    <row r="673" ht="14.25" customHeight="1">
      <c r="F673" s="199"/>
    </row>
    <row r="674" ht="14.25" customHeight="1">
      <c r="F674" s="199"/>
    </row>
    <row r="675" ht="14.25" customHeight="1">
      <c r="F675" s="199"/>
    </row>
    <row r="676" ht="14.25" customHeight="1">
      <c r="F676" s="199"/>
    </row>
    <row r="677" ht="14.25" customHeight="1">
      <c r="F677" s="199"/>
    </row>
    <row r="678" ht="14.25" customHeight="1">
      <c r="F678" s="199"/>
    </row>
    <row r="679" ht="14.25" customHeight="1">
      <c r="F679" s="199"/>
    </row>
    <row r="680" ht="14.25" customHeight="1">
      <c r="F680" s="199"/>
    </row>
    <row r="681" ht="14.25" customHeight="1">
      <c r="F681" s="199"/>
    </row>
    <row r="682" ht="14.25" customHeight="1">
      <c r="F682" s="199"/>
    </row>
    <row r="683" ht="14.25" customHeight="1">
      <c r="F683" s="199"/>
    </row>
    <row r="684" ht="14.25" customHeight="1">
      <c r="F684" s="199"/>
    </row>
    <row r="685" ht="14.25" customHeight="1">
      <c r="F685" s="199"/>
    </row>
    <row r="686" ht="14.25" customHeight="1">
      <c r="F686" s="199"/>
    </row>
    <row r="687" ht="14.25" customHeight="1">
      <c r="F687" s="199"/>
    </row>
    <row r="688" ht="14.25" customHeight="1">
      <c r="F688" s="199"/>
    </row>
    <row r="689" ht="14.25" customHeight="1">
      <c r="F689" s="199"/>
    </row>
    <row r="690" ht="14.25" customHeight="1">
      <c r="F690" s="199"/>
    </row>
    <row r="691" ht="14.25" customHeight="1">
      <c r="F691" s="199"/>
    </row>
    <row r="692" ht="14.25" customHeight="1">
      <c r="F692" s="199"/>
    </row>
    <row r="693" ht="14.25" customHeight="1">
      <c r="F693" s="199"/>
    </row>
    <row r="694" ht="14.25" customHeight="1">
      <c r="F694" s="199"/>
    </row>
    <row r="695" ht="14.25" customHeight="1">
      <c r="F695" s="199"/>
    </row>
    <row r="696" ht="14.25" customHeight="1">
      <c r="F696" s="199"/>
    </row>
    <row r="697" ht="14.25" customHeight="1">
      <c r="F697" s="199"/>
    </row>
    <row r="698" ht="14.25" customHeight="1">
      <c r="F698" s="199"/>
    </row>
    <row r="699" ht="14.25" customHeight="1">
      <c r="F699" s="199"/>
    </row>
    <row r="700" ht="14.25" customHeight="1">
      <c r="F700" s="199"/>
    </row>
    <row r="701" ht="14.25" customHeight="1">
      <c r="F701" s="199"/>
    </row>
    <row r="702" ht="14.25" customHeight="1">
      <c r="F702" s="199"/>
    </row>
    <row r="703" ht="14.25" customHeight="1">
      <c r="F703" s="199"/>
    </row>
    <row r="704" ht="14.25" customHeight="1">
      <c r="F704" s="199"/>
    </row>
    <row r="705" ht="14.25" customHeight="1">
      <c r="F705" s="199"/>
    </row>
    <row r="706" ht="14.25" customHeight="1">
      <c r="F706" s="199"/>
    </row>
    <row r="707" ht="14.25" customHeight="1">
      <c r="F707" s="199"/>
    </row>
    <row r="708" ht="14.25" customHeight="1">
      <c r="F708" s="199"/>
    </row>
    <row r="709" ht="14.25" customHeight="1">
      <c r="F709" s="199"/>
    </row>
    <row r="710" ht="14.25" customHeight="1">
      <c r="F710" s="199"/>
    </row>
    <row r="711" ht="14.25" customHeight="1">
      <c r="F711" s="199"/>
    </row>
    <row r="712" ht="14.25" customHeight="1">
      <c r="F712" s="199"/>
    </row>
    <row r="713" ht="14.25" customHeight="1">
      <c r="F713" s="199"/>
    </row>
    <row r="714" ht="14.25" customHeight="1">
      <c r="F714" s="199"/>
    </row>
    <row r="715" ht="14.25" customHeight="1">
      <c r="F715" s="199"/>
    </row>
    <row r="716" ht="14.25" customHeight="1">
      <c r="F716" s="199"/>
    </row>
    <row r="717" ht="14.25" customHeight="1">
      <c r="F717" s="199"/>
    </row>
    <row r="718" ht="14.25" customHeight="1">
      <c r="F718" s="199"/>
    </row>
    <row r="719" ht="14.25" customHeight="1">
      <c r="F719" s="199"/>
    </row>
    <row r="720" ht="14.25" customHeight="1">
      <c r="F720" s="199"/>
    </row>
    <row r="721" ht="14.25" customHeight="1">
      <c r="F721" s="199"/>
    </row>
    <row r="722" ht="14.25" customHeight="1">
      <c r="F722" s="199"/>
    </row>
    <row r="723" ht="14.25" customHeight="1">
      <c r="F723" s="199"/>
    </row>
    <row r="724" ht="14.25" customHeight="1">
      <c r="F724" s="199"/>
    </row>
    <row r="725" ht="14.25" customHeight="1">
      <c r="F725" s="199"/>
    </row>
    <row r="726" ht="14.25" customHeight="1">
      <c r="F726" s="199"/>
    </row>
    <row r="727" ht="14.25" customHeight="1">
      <c r="F727" s="199"/>
    </row>
    <row r="728" ht="14.25" customHeight="1">
      <c r="F728" s="199"/>
    </row>
    <row r="729" ht="14.25" customHeight="1">
      <c r="F729" s="199"/>
    </row>
    <row r="730" ht="14.25" customHeight="1">
      <c r="F730" s="199"/>
    </row>
    <row r="731" ht="14.25" customHeight="1">
      <c r="F731" s="199"/>
    </row>
    <row r="732" ht="14.25" customHeight="1">
      <c r="F732" s="199"/>
    </row>
    <row r="733" ht="14.25" customHeight="1">
      <c r="F733" s="199"/>
    </row>
    <row r="734" ht="14.25" customHeight="1">
      <c r="F734" s="199"/>
    </row>
    <row r="735" ht="14.25" customHeight="1">
      <c r="F735" s="199"/>
    </row>
    <row r="736" ht="14.25" customHeight="1">
      <c r="F736" s="199"/>
    </row>
    <row r="737" ht="14.25" customHeight="1">
      <c r="F737" s="199"/>
    </row>
    <row r="738" ht="14.25" customHeight="1">
      <c r="F738" s="199"/>
    </row>
    <row r="739" ht="14.25" customHeight="1">
      <c r="F739" s="199"/>
    </row>
    <row r="740" ht="14.25" customHeight="1">
      <c r="F740" s="199"/>
    </row>
    <row r="741" ht="14.25" customHeight="1">
      <c r="F741" s="199"/>
    </row>
    <row r="742" ht="14.25" customHeight="1">
      <c r="F742" s="199"/>
    </row>
    <row r="743" ht="14.25" customHeight="1">
      <c r="F743" s="199"/>
    </row>
    <row r="744" ht="14.25" customHeight="1">
      <c r="F744" s="199"/>
    </row>
    <row r="745" ht="14.25" customHeight="1">
      <c r="F745" s="199"/>
    </row>
    <row r="746" ht="14.25" customHeight="1">
      <c r="F746" s="199"/>
    </row>
    <row r="747" ht="14.25" customHeight="1">
      <c r="F747" s="199"/>
    </row>
    <row r="748" ht="14.25" customHeight="1">
      <c r="F748" s="199"/>
    </row>
    <row r="749" ht="14.25" customHeight="1">
      <c r="F749" s="199"/>
    </row>
    <row r="750" ht="14.25" customHeight="1">
      <c r="F750" s="199"/>
    </row>
    <row r="751" ht="14.25" customHeight="1">
      <c r="F751" s="199"/>
    </row>
    <row r="752" ht="14.25" customHeight="1">
      <c r="F752" s="199"/>
    </row>
    <row r="753" ht="14.25" customHeight="1">
      <c r="F753" s="199"/>
    </row>
    <row r="754" ht="14.25" customHeight="1">
      <c r="F754" s="199"/>
    </row>
    <row r="755" ht="14.25" customHeight="1">
      <c r="F755" s="199"/>
    </row>
    <row r="756" ht="14.25" customHeight="1">
      <c r="F756" s="199"/>
    </row>
    <row r="757" ht="14.25" customHeight="1">
      <c r="F757" s="199"/>
    </row>
    <row r="758" ht="14.25" customHeight="1">
      <c r="F758" s="199"/>
    </row>
    <row r="759" ht="14.25" customHeight="1">
      <c r="F759" s="199"/>
    </row>
    <row r="760" ht="14.25" customHeight="1">
      <c r="F760" s="199"/>
    </row>
    <row r="761" ht="14.25" customHeight="1">
      <c r="F761" s="199"/>
    </row>
    <row r="762" ht="14.25" customHeight="1">
      <c r="F762" s="199"/>
    </row>
    <row r="763" ht="14.25" customHeight="1">
      <c r="F763" s="199"/>
    </row>
    <row r="764" ht="14.25" customHeight="1">
      <c r="F764" s="199"/>
    </row>
    <row r="765" ht="14.25" customHeight="1">
      <c r="F765" s="199"/>
    </row>
    <row r="766" ht="14.25" customHeight="1">
      <c r="F766" s="199"/>
    </row>
    <row r="767" ht="14.25" customHeight="1">
      <c r="F767" s="199"/>
    </row>
    <row r="768" ht="14.25" customHeight="1">
      <c r="F768" s="199"/>
    </row>
    <row r="769" ht="14.25" customHeight="1">
      <c r="F769" s="199"/>
    </row>
    <row r="770" ht="14.25" customHeight="1">
      <c r="F770" s="199"/>
    </row>
    <row r="771" ht="14.25" customHeight="1">
      <c r="F771" s="199"/>
    </row>
    <row r="772" ht="14.25" customHeight="1">
      <c r="F772" s="199"/>
    </row>
    <row r="773" ht="14.25" customHeight="1">
      <c r="F773" s="199"/>
    </row>
    <row r="774" ht="14.25" customHeight="1">
      <c r="F774" s="199"/>
    </row>
    <row r="775" ht="14.25" customHeight="1">
      <c r="F775" s="199"/>
    </row>
    <row r="776" ht="14.25" customHeight="1">
      <c r="F776" s="199"/>
    </row>
    <row r="777" ht="14.25" customHeight="1">
      <c r="F777" s="199"/>
    </row>
    <row r="778" ht="14.25" customHeight="1">
      <c r="F778" s="199"/>
    </row>
    <row r="779" ht="14.25" customHeight="1">
      <c r="F779" s="199"/>
    </row>
    <row r="780" ht="14.25" customHeight="1">
      <c r="F780" s="199"/>
    </row>
    <row r="781" ht="14.25" customHeight="1">
      <c r="F781" s="199"/>
    </row>
    <row r="782" ht="14.25" customHeight="1">
      <c r="F782" s="199"/>
    </row>
    <row r="783" ht="14.25" customHeight="1">
      <c r="F783" s="199"/>
    </row>
    <row r="784" ht="14.25" customHeight="1">
      <c r="F784" s="199"/>
    </row>
    <row r="785" ht="14.25" customHeight="1">
      <c r="F785" s="199"/>
    </row>
    <row r="786" ht="14.25" customHeight="1">
      <c r="F786" s="199"/>
    </row>
    <row r="787" ht="14.25" customHeight="1">
      <c r="F787" s="199"/>
    </row>
    <row r="788" ht="14.25" customHeight="1">
      <c r="F788" s="199"/>
    </row>
    <row r="789" ht="14.25" customHeight="1">
      <c r="F789" s="199"/>
    </row>
    <row r="790" ht="14.25" customHeight="1">
      <c r="F790" s="199"/>
    </row>
    <row r="791" ht="14.25" customHeight="1">
      <c r="F791" s="199"/>
    </row>
    <row r="792" ht="14.25" customHeight="1">
      <c r="F792" s="199"/>
    </row>
    <row r="793" ht="14.25" customHeight="1">
      <c r="F793" s="199"/>
    </row>
    <row r="794" ht="14.25" customHeight="1">
      <c r="F794" s="199"/>
    </row>
    <row r="795" ht="14.25" customHeight="1">
      <c r="F795" s="199"/>
    </row>
    <row r="796" ht="14.25" customHeight="1">
      <c r="F796" s="199"/>
    </row>
    <row r="797" ht="14.25" customHeight="1">
      <c r="F797" s="199"/>
    </row>
    <row r="798" ht="14.25" customHeight="1">
      <c r="F798" s="199"/>
    </row>
    <row r="799" ht="14.25" customHeight="1">
      <c r="F799" s="199"/>
    </row>
    <row r="800" ht="14.25" customHeight="1">
      <c r="F800" s="199"/>
    </row>
    <row r="801" ht="14.25" customHeight="1">
      <c r="F801" s="199"/>
    </row>
    <row r="802" ht="14.25" customHeight="1">
      <c r="F802" s="199"/>
    </row>
    <row r="803" ht="14.25" customHeight="1">
      <c r="F803" s="199"/>
    </row>
    <row r="804" ht="14.25" customHeight="1">
      <c r="F804" s="199"/>
    </row>
    <row r="805" ht="14.25" customHeight="1">
      <c r="F805" s="199"/>
    </row>
    <row r="806" ht="14.25" customHeight="1">
      <c r="F806" s="199"/>
    </row>
    <row r="807" ht="14.25" customHeight="1">
      <c r="F807" s="199"/>
    </row>
    <row r="808" ht="14.25" customHeight="1">
      <c r="F808" s="199"/>
    </row>
    <row r="809" ht="14.25" customHeight="1">
      <c r="F809" s="199"/>
    </row>
    <row r="810" ht="14.25" customHeight="1">
      <c r="F810" s="199"/>
    </row>
    <row r="811" ht="14.25" customHeight="1">
      <c r="F811" s="199"/>
    </row>
    <row r="812" ht="14.25" customHeight="1">
      <c r="F812" s="199"/>
    </row>
    <row r="813" ht="14.25" customHeight="1">
      <c r="F813" s="199"/>
    </row>
    <row r="814" ht="14.25" customHeight="1">
      <c r="F814" s="199"/>
    </row>
    <row r="815" ht="14.25" customHeight="1">
      <c r="F815" s="199"/>
    </row>
    <row r="816" ht="14.25" customHeight="1">
      <c r="F816" s="199"/>
    </row>
    <row r="817" ht="14.25" customHeight="1">
      <c r="F817" s="199"/>
    </row>
    <row r="818" ht="14.25" customHeight="1">
      <c r="F818" s="199"/>
    </row>
    <row r="819" ht="14.25" customHeight="1">
      <c r="F819" s="199"/>
    </row>
    <row r="820" ht="14.25" customHeight="1">
      <c r="F820" s="199"/>
    </row>
    <row r="821" ht="14.25" customHeight="1">
      <c r="F821" s="199"/>
    </row>
    <row r="822" ht="14.25" customHeight="1">
      <c r="F822" s="199"/>
    </row>
    <row r="823" ht="14.25" customHeight="1">
      <c r="F823" s="199"/>
    </row>
    <row r="824" ht="14.25" customHeight="1">
      <c r="F824" s="199"/>
    </row>
    <row r="825" ht="14.25" customHeight="1">
      <c r="F825" s="199"/>
    </row>
    <row r="826" ht="14.25" customHeight="1">
      <c r="F826" s="199"/>
    </row>
    <row r="827" ht="14.25" customHeight="1">
      <c r="F827" s="199"/>
    </row>
    <row r="828" ht="14.25" customHeight="1">
      <c r="F828" s="199"/>
    </row>
    <row r="829" ht="14.25" customHeight="1">
      <c r="F829" s="199"/>
    </row>
    <row r="830" ht="14.25" customHeight="1">
      <c r="F830" s="199"/>
    </row>
    <row r="831" ht="14.25" customHeight="1">
      <c r="F831" s="199"/>
    </row>
    <row r="832" ht="14.25" customHeight="1">
      <c r="F832" s="199"/>
    </row>
    <row r="833" ht="14.25" customHeight="1">
      <c r="F833" s="199"/>
    </row>
    <row r="834" ht="14.25" customHeight="1">
      <c r="F834" s="199"/>
    </row>
    <row r="835" ht="14.25" customHeight="1">
      <c r="F835" s="199"/>
    </row>
    <row r="836" ht="14.25" customHeight="1">
      <c r="F836" s="199"/>
    </row>
    <row r="837" ht="14.25" customHeight="1">
      <c r="F837" s="199"/>
    </row>
    <row r="838" ht="14.25" customHeight="1">
      <c r="F838" s="199"/>
    </row>
    <row r="839" ht="14.25" customHeight="1">
      <c r="F839" s="199"/>
    </row>
    <row r="840" ht="14.25" customHeight="1">
      <c r="F840" s="199"/>
    </row>
    <row r="841" ht="14.25" customHeight="1">
      <c r="F841" s="199"/>
    </row>
    <row r="842" ht="14.25" customHeight="1">
      <c r="F842" s="199"/>
    </row>
    <row r="843" ht="14.25" customHeight="1">
      <c r="F843" s="199"/>
    </row>
    <row r="844" ht="14.25" customHeight="1">
      <c r="F844" s="199"/>
    </row>
    <row r="845" ht="14.25" customHeight="1">
      <c r="F845" s="199"/>
    </row>
    <row r="846" ht="14.25" customHeight="1">
      <c r="F846" s="199"/>
    </row>
    <row r="847" ht="14.25" customHeight="1">
      <c r="F847" s="199"/>
    </row>
    <row r="848" ht="14.25" customHeight="1">
      <c r="F848" s="199"/>
    </row>
    <row r="849" ht="14.25" customHeight="1">
      <c r="F849" s="199"/>
    </row>
    <row r="850" ht="14.25" customHeight="1">
      <c r="F850" s="199"/>
    </row>
    <row r="851" ht="14.25" customHeight="1">
      <c r="F851" s="199"/>
    </row>
    <row r="852" ht="14.25" customHeight="1">
      <c r="F852" s="199"/>
    </row>
    <row r="853" ht="14.25" customHeight="1">
      <c r="F853" s="199"/>
    </row>
    <row r="854" ht="14.25" customHeight="1">
      <c r="F854" s="199"/>
    </row>
    <row r="855" ht="14.25" customHeight="1">
      <c r="F855" s="199"/>
    </row>
    <row r="856" ht="14.25" customHeight="1">
      <c r="F856" s="199"/>
    </row>
    <row r="857" ht="14.25" customHeight="1">
      <c r="F857" s="199"/>
    </row>
    <row r="858" ht="14.25" customHeight="1">
      <c r="F858" s="199"/>
    </row>
    <row r="859" ht="14.25" customHeight="1">
      <c r="F859" s="199"/>
    </row>
    <row r="860" ht="14.25" customHeight="1">
      <c r="F860" s="199"/>
    </row>
    <row r="861" ht="14.25" customHeight="1">
      <c r="F861" s="199"/>
    </row>
    <row r="862" ht="14.25" customHeight="1">
      <c r="F862" s="199"/>
    </row>
    <row r="863" ht="14.25" customHeight="1">
      <c r="F863" s="199"/>
    </row>
    <row r="864" ht="14.25" customHeight="1">
      <c r="F864" s="199"/>
    </row>
    <row r="865" ht="14.25" customHeight="1">
      <c r="F865" s="199"/>
    </row>
    <row r="866" ht="14.25" customHeight="1">
      <c r="F866" s="199"/>
    </row>
    <row r="867" ht="14.25" customHeight="1">
      <c r="F867" s="199"/>
    </row>
    <row r="868" ht="14.25" customHeight="1">
      <c r="F868" s="199"/>
    </row>
    <row r="869" ht="14.25" customHeight="1">
      <c r="F869" s="199"/>
    </row>
    <row r="870" ht="14.25" customHeight="1">
      <c r="F870" s="199"/>
    </row>
    <row r="871" ht="14.25" customHeight="1">
      <c r="F871" s="199"/>
    </row>
    <row r="872" ht="14.25" customHeight="1">
      <c r="F872" s="199"/>
    </row>
    <row r="873" ht="14.25" customHeight="1">
      <c r="F873" s="199"/>
    </row>
    <row r="874" ht="14.25" customHeight="1">
      <c r="F874" s="199"/>
    </row>
    <row r="875" ht="14.25" customHeight="1">
      <c r="F875" s="199"/>
    </row>
    <row r="876" ht="14.25" customHeight="1">
      <c r="F876" s="199"/>
    </row>
    <row r="877" ht="14.25" customHeight="1">
      <c r="F877" s="199"/>
    </row>
    <row r="878" ht="14.25" customHeight="1">
      <c r="F878" s="199"/>
    </row>
    <row r="879" ht="14.25" customHeight="1">
      <c r="F879" s="199"/>
    </row>
    <row r="880" ht="14.25" customHeight="1">
      <c r="F880" s="199"/>
    </row>
    <row r="881" ht="14.25" customHeight="1">
      <c r="F881" s="199"/>
    </row>
    <row r="882" ht="14.25" customHeight="1">
      <c r="F882" s="199"/>
    </row>
    <row r="883" ht="14.25" customHeight="1">
      <c r="F883" s="199"/>
    </row>
    <row r="884" ht="14.25" customHeight="1">
      <c r="F884" s="199"/>
    </row>
    <row r="885" ht="14.25" customHeight="1">
      <c r="F885" s="199"/>
    </row>
    <row r="886" ht="14.25" customHeight="1">
      <c r="F886" s="199"/>
    </row>
    <row r="887" ht="14.25" customHeight="1">
      <c r="F887" s="199"/>
    </row>
    <row r="888" ht="14.25" customHeight="1">
      <c r="F888" s="199"/>
    </row>
    <row r="889" ht="14.25" customHeight="1">
      <c r="F889" s="199"/>
    </row>
    <row r="890" ht="14.25" customHeight="1">
      <c r="F890" s="199"/>
    </row>
    <row r="891" ht="14.25" customHeight="1">
      <c r="F891" s="199"/>
    </row>
    <row r="892" ht="14.25" customHeight="1">
      <c r="F892" s="199"/>
    </row>
    <row r="893" ht="14.25" customHeight="1">
      <c r="F893" s="199"/>
    </row>
    <row r="894" ht="14.25" customHeight="1">
      <c r="F894" s="199"/>
    </row>
    <row r="895" ht="14.25" customHeight="1">
      <c r="F895" s="199"/>
    </row>
    <row r="896" ht="14.25" customHeight="1">
      <c r="F896" s="199"/>
    </row>
    <row r="897" ht="14.25" customHeight="1">
      <c r="F897" s="199"/>
    </row>
    <row r="898" ht="14.25" customHeight="1">
      <c r="F898" s="199"/>
    </row>
    <row r="899" ht="14.25" customHeight="1">
      <c r="F899" s="199"/>
    </row>
    <row r="900" ht="14.25" customHeight="1">
      <c r="F900" s="199"/>
    </row>
    <row r="901" ht="14.25" customHeight="1">
      <c r="F901" s="199"/>
    </row>
    <row r="902" ht="14.25" customHeight="1">
      <c r="F902" s="199"/>
    </row>
    <row r="903" ht="14.25" customHeight="1">
      <c r="F903" s="199"/>
    </row>
    <row r="904" ht="14.25" customHeight="1">
      <c r="F904" s="199"/>
    </row>
    <row r="905" ht="14.25" customHeight="1">
      <c r="F905" s="199"/>
    </row>
    <row r="906" ht="14.25" customHeight="1">
      <c r="F906" s="199"/>
    </row>
    <row r="907" ht="14.25" customHeight="1">
      <c r="F907" s="199"/>
    </row>
    <row r="908" ht="14.25" customHeight="1">
      <c r="F908" s="199"/>
    </row>
    <row r="909" ht="14.25" customHeight="1">
      <c r="F909" s="199"/>
    </row>
    <row r="910" ht="14.25" customHeight="1">
      <c r="F910" s="199"/>
    </row>
    <row r="911" ht="14.25" customHeight="1">
      <c r="F911" s="199"/>
    </row>
    <row r="912" ht="14.25" customHeight="1">
      <c r="F912" s="199"/>
    </row>
    <row r="913" ht="14.25" customHeight="1">
      <c r="F913" s="199"/>
    </row>
    <row r="914" ht="14.25" customHeight="1">
      <c r="F914" s="199"/>
    </row>
    <row r="915" ht="14.25" customHeight="1">
      <c r="F915" s="199"/>
    </row>
    <row r="916" ht="14.25" customHeight="1">
      <c r="F916" s="199"/>
    </row>
    <row r="917" ht="14.25" customHeight="1">
      <c r="F917" s="199"/>
    </row>
    <row r="918" ht="14.25" customHeight="1">
      <c r="F918" s="199"/>
    </row>
    <row r="919" ht="14.25" customHeight="1">
      <c r="F919" s="199"/>
    </row>
    <row r="920" ht="14.25" customHeight="1">
      <c r="F920" s="199"/>
    </row>
    <row r="921" ht="14.25" customHeight="1">
      <c r="F921" s="199"/>
    </row>
    <row r="922" ht="14.25" customHeight="1">
      <c r="F922" s="199"/>
    </row>
    <row r="923" ht="14.25" customHeight="1">
      <c r="F923" s="199"/>
    </row>
    <row r="924" ht="14.25" customHeight="1">
      <c r="F924" s="199"/>
    </row>
    <row r="925" ht="14.25" customHeight="1">
      <c r="F925" s="199"/>
    </row>
    <row r="926" ht="14.25" customHeight="1">
      <c r="F926" s="199"/>
    </row>
    <row r="927" ht="14.25" customHeight="1">
      <c r="F927" s="199"/>
    </row>
    <row r="928" ht="14.25" customHeight="1">
      <c r="F928" s="199"/>
    </row>
    <row r="929" ht="14.25" customHeight="1">
      <c r="F929" s="199"/>
    </row>
    <row r="930" ht="14.25" customHeight="1">
      <c r="F930" s="199"/>
    </row>
    <row r="931" ht="14.25" customHeight="1">
      <c r="F931" s="199"/>
    </row>
    <row r="932" ht="14.25" customHeight="1">
      <c r="F932" s="199"/>
    </row>
    <row r="933" ht="14.25" customHeight="1">
      <c r="F933" s="199"/>
    </row>
    <row r="934" ht="14.25" customHeight="1">
      <c r="F934" s="199"/>
    </row>
    <row r="935" ht="14.25" customHeight="1">
      <c r="F935" s="199"/>
    </row>
    <row r="936" ht="14.25" customHeight="1">
      <c r="F936" s="199"/>
    </row>
    <row r="937" ht="14.25" customHeight="1">
      <c r="F937" s="199"/>
    </row>
    <row r="938" ht="14.25" customHeight="1">
      <c r="F938" s="199"/>
    </row>
    <row r="939" ht="14.25" customHeight="1">
      <c r="F939" s="199"/>
    </row>
    <row r="940" ht="14.25" customHeight="1">
      <c r="F940" s="199"/>
    </row>
    <row r="941" ht="14.25" customHeight="1">
      <c r="F941" s="199"/>
    </row>
    <row r="942" ht="14.25" customHeight="1">
      <c r="F942" s="199"/>
    </row>
    <row r="943" ht="14.25" customHeight="1">
      <c r="F943" s="199"/>
    </row>
    <row r="944" ht="14.25" customHeight="1">
      <c r="F944" s="199"/>
    </row>
    <row r="945" ht="14.25" customHeight="1">
      <c r="F945" s="199"/>
    </row>
    <row r="946" ht="14.25" customHeight="1">
      <c r="F946" s="199"/>
    </row>
    <row r="947" ht="14.25" customHeight="1">
      <c r="F947" s="199"/>
    </row>
    <row r="948" ht="14.25" customHeight="1">
      <c r="F948" s="199"/>
    </row>
    <row r="949" ht="14.25" customHeight="1">
      <c r="F949" s="199"/>
    </row>
    <row r="950" ht="14.25" customHeight="1">
      <c r="F950" s="199"/>
    </row>
    <row r="951" ht="14.25" customHeight="1">
      <c r="F951" s="199"/>
    </row>
    <row r="952" ht="14.25" customHeight="1">
      <c r="F952" s="199"/>
    </row>
    <row r="953" ht="14.25" customHeight="1">
      <c r="F953" s="199"/>
    </row>
    <row r="954" ht="14.25" customHeight="1">
      <c r="F954" s="199"/>
    </row>
    <row r="955" ht="14.25" customHeight="1">
      <c r="F955" s="199"/>
    </row>
    <row r="956" ht="14.25" customHeight="1">
      <c r="F956" s="199"/>
    </row>
    <row r="957" ht="14.25" customHeight="1">
      <c r="F957" s="199"/>
    </row>
    <row r="958" ht="14.25" customHeight="1">
      <c r="F958" s="199"/>
    </row>
    <row r="959" ht="14.25" customHeight="1">
      <c r="F959" s="199"/>
    </row>
    <row r="960" ht="14.25" customHeight="1">
      <c r="F960" s="199"/>
    </row>
    <row r="961" ht="14.25" customHeight="1">
      <c r="F961" s="199"/>
    </row>
    <row r="962" ht="14.25" customHeight="1">
      <c r="F962" s="199"/>
    </row>
    <row r="963" ht="14.25" customHeight="1">
      <c r="F963" s="199"/>
    </row>
    <row r="964" ht="14.25" customHeight="1">
      <c r="F964" s="199"/>
    </row>
    <row r="965" ht="14.25" customHeight="1">
      <c r="F965" s="199"/>
    </row>
    <row r="966" ht="14.25" customHeight="1">
      <c r="F966" s="199"/>
    </row>
    <row r="967" ht="14.25" customHeight="1">
      <c r="F967" s="199"/>
    </row>
    <row r="968" ht="14.25" customHeight="1">
      <c r="F968" s="199"/>
    </row>
    <row r="969" ht="14.25" customHeight="1">
      <c r="F969" s="199"/>
    </row>
    <row r="970" ht="14.25" customHeight="1">
      <c r="F970" s="199"/>
    </row>
    <row r="971" ht="14.25" customHeight="1">
      <c r="F971" s="199"/>
    </row>
    <row r="972" ht="14.25" customHeight="1">
      <c r="F972" s="199"/>
    </row>
    <row r="973" ht="14.25" customHeight="1">
      <c r="F973" s="199"/>
    </row>
    <row r="974" ht="14.25" customHeight="1">
      <c r="F974" s="199"/>
    </row>
    <row r="975" ht="14.25" customHeight="1">
      <c r="F975" s="199"/>
    </row>
    <row r="976" ht="14.25" customHeight="1">
      <c r="F976" s="199"/>
    </row>
    <row r="977" ht="14.25" customHeight="1">
      <c r="F977" s="199"/>
    </row>
    <row r="978" ht="14.25" customHeight="1">
      <c r="F978" s="199"/>
    </row>
    <row r="979" ht="14.25" customHeight="1">
      <c r="F979" s="199"/>
    </row>
    <row r="980" ht="14.25" customHeight="1">
      <c r="F980" s="199"/>
    </row>
    <row r="981" ht="14.25" customHeight="1">
      <c r="F981" s="199"/>
    </row>
    <row r="982" ht="14.25" customHeight="1">
      <c r="F982" s="199"/>
    </row>
    <row r="983" ht="14.25" customHeight="1">
      <c r="F983" s="199"/>
    </row>
    <row r="984" ht="14.25" customHeight="1">
      <c r="F984" s="199"/>
    </row>
    <row r="985" ht="14.25" customHeight="1">
      <c r="F985" s="199"/>
    </row>
    <row r="986" ht="14.25" customHeight="1">
      <c r="F986" s="199"/>
    </row>
    <row r="987" ht="14.25" customHeight="1">
      <c r="F987" s="199"/>
    </row>
    <row r="988" ht="14.25" customHeight="1">
      <c r="F988" s="199"/>
    </row>
    <row r="989" ht="14.25" customHeight="1">
      <c r="F989" s="199"/>
    </row>
    <row r="990" ht="14.25" customHeight="1">
      <c r="F990" s="199"/>
    </row>
    <row r="991" ht="14.25" customHeight="1">
      <c r="F991" s="199"/>
    </row>
    <row r="992" ht="14.25" customHeight="1">
      <c r="F992" s="199"/>
    </row>
    <row r="993" ht="14.25" customHeight="1">
      <c r="F993" s="199"/>
    </row>
    <row r="994" ht="14.25" customHeight="1">
      <c r="F994" s="199"/>
    </row>
    <row r="995" ht="14.25" customHeight="1">
      <c r="F995" s="199"/>
    </row>
    <row r="996" ht="14.25" customHeight="1">
      <c r="F996" s="199"/>
    </row>
    <row r="997" ht="14.25" customHeight="1">
      <c r="F997" s="199"/>
    </row>
    <row r="998" ht="14.25" customHeight="1">
      <c r="F998" s="199"/>
    </row>
    <row r="999" ht="14.25" customHeight="1">
      <c r="F999" s="199"/>
    </row>
    <row r="1000" ht="14.25" customHeight="1">
      <c r="F1000" s="199"/>
    </row>
  </sheetData>
  <mergeCells count="1">
    <mergeCell ref="E3:K4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8.57"/>
    <col customWidth="1" min="3" max="3" width="24.43"/>
    <col customWidth="1" min="4" max="26" width="9.43"/>
  </cols>
  <sheetData>
    <row r="1" ht="14.25" customHeight="1"/>
    <row r="2" ht="14.25" customHeight="1">
      <c r="A2" s="37"/>
    </row>
    <row r="3" ht="14.25" customHeight="1">
      <c r="A3" s="231" t="s">
        <v>2</v>
      </c>
      <c r="B3" s="232">
        <v>45936.0</v>
      </c>
    </row>
    <row r="4" ht="14.25" customHeight="1">
      <c r="A4" s="233"/>
      <c r="B4" s="233"/>
      <c r="C4" s="233"/>
    </row>
    <row r="5" ht="14.25" customHeight="1">
      <c r="A5" s="233" t="s">
        <v>268</v>
      </c>
      <c r="B5" s="233" t="s">
        <v>269</v>
      </c>
      <c r="C5" s="233" t="s">
        <v>270</v>
      </c>
    </row>
    <row r="6" ht="14.25" customHeight="1">
      <c r="A6" s="233" t="s">
        <v>271</v>
      </c>
      <c r="B6" s="234">
        <v>1434.43</v>
      </c>
      <c r="C6" s="235">
        <v>22816.69</v>
      </c>
    </row>
    <row r="7" ht="14.25" customHeight="1">
      <c r="A7" s="233" t="s">
        <v>272</v>
      </c>
      <c r="B7" s="235">
        <v>513.69</v>
      </c>
      <c r="C7" s="235">
        <v>12215.12</v>
      </c>
    </row>
    <row r="8" ht="14.25" customHeight="1">
      <c r="A8" s="233" t="s">
        <v>273</v>
      </c>
      <c r="B8" s="235">
        <v>285.64</v>
      </c>
      <c r="C8" s="235">
        <v>2590.77</v>
      </c>
    </row>
    <row r="9" ht="14.25" customHeight="1">
      <c r="A9" s="233" t="s">
        <v>274</v>
      </c>
      <c r="B9" s="235">
        <v>635.1</v>
      </c>
      <c r="C9" s="235">
        <v>8010.8</v>
      </c>
    </row>
    <row r="10" ht="14.25" customHeight="1">
      <c r="A10" s="236"/>
      <c r="B10" s="235"/>
      <c r="C10" s="235"/>
    </row>
    <row r="11" ht="14.25" customHeight="1">
      <c r="A11" s="236"/>
      <c r="B11" s="237"/>
      <c r="C11" s="237"/>
    </row>
    <row r="12" ht="14.25" customHeight="1">
      <c r="A12" s="238" t="s">
        <v>275</v>
      </c>
      <c r="B12" s="232">
        <f>B3+1</f>
        <v>45937</v>
      </c>
      <c r="C12" s="239"/>
    </row>
    <row r="13" ht="14.25" customHeight="1">
      <c r="A13" s="233"/>
      <c r="B13" s="233"/>
      <c r="C13" s="233"/>
    </row>
    <row r="14" ht="14.25" customHeight="1">
      <c r="A14" s="233" t="s">
        <v>268</v>
      </c>
      <c r="B14" s="233" t="s">
        <v>269</v>
      </c>
      <c r="C14" s="233" t="s">
        <v>270</v>
      </c>
    </row>
    <row r="15" ht="14.25" customHeight="1">
      <c r="A15" s="233" t="s">
        <v>276</v>
      </c>
      <c r="B15" s="234">
        <v>878.79</v>
      </c>
      <c r="C15" s="235">
        <v>17850.8</v>
      </c>
    </row>
    <row r="16" ht="14.25" customHeight="1">
      <c r="A16" s="233" t="s">
        <v>277</v>
      </c>
      <c r="B16" s="235">
        <v>346.19</v>
      </c>
      <c r="C16" s="235">
        <v>7643.37</v>
      </c>
    </row>
    <row r="17" ht="14.25" customHeight="1">
      <c r="A17" s="233" t="s">
        <v>278</v>
      </c>
      <c r="B17" s="235">
        <v>204.98</v>
      </c>
      <c r="C17" s="235">
        <v>3192.03</v>
      </c>
    </row>
    <row r="18" ht="14.25" customHeight="1">
      <c r="A18" s="233" t="s">
        <v>279</v>
      </c>
      <c r="B18" s="235">
        <v>327.62</v>
      </c>
      <c r="C18" s="235">
        <v>6898.5</v>
      </c>
    </row>
    <row r="19" ht="14.25" customHeight="1">
      <c r="A19" s="233" t="s">
        <v>280</v>
      </c>
      <c r="B19" s="235">
        <v>0.0</v>
      </c>
      <c r="C19" s="235">
        <v>116.9</v>
      </c>
    </row>
    <row r="20" ht="14.25" customHeight="1">
      <c r="A20" s="233"/>
      <c r="B20" s="235"/>
      <c r="C20" s="235"/>
    </row>
    <row r="21" ht="14.25" customHeight="1">
      <c r="A21" s="236"/>
      <c r="B21" s="235"/>
      <c r="C21" s="235"/>
    </row>
    <row r="22" ht="14.25" customHeight="1">
      <c r="A22" s="236"/>
      <c r="B22" s="235"/>
      <c r="C22" s="235"/>
    </row>
    <row r="23" ht="14.25" customHeight="1">
      <c r="A23" s="231" t="s">
        <v>281</v>
      </c>
      <c r="B23" s="232">
        <f>B12+1</f>
        <v>45938</v>
      </c>
      <c r="C23" s="239"/>
    </row>
    <row r="24" ht="14.25" customHeight="1">
      <c r="A24" s="233"/>
      <c r="B24" s="233"/>
      <c r="C24" s="233"/>
    </row>
    <row r="25" ht="14.25" customHeight="1">
      <c r="A25" s="233" t="s">
        <v>268</v>
      </c>
      <c r="B25" s="233" t="s">
        <v>269</v>
      </c>
      <c r="C25" s="233" t="s">
        <v>270</v>
      </c>
    </row>
    <row r="26" ht="14.25" customHeight="1">
      <c r="A26" s="233" t="s">
        <v>282</v>
      </c>
      <c r="B26" s="234">
        <v>916.57</v>
      </c>
      <c r="C26" s="235">
        <v>23725.27</v>
      </c>
    </row>
    <row r="27" ht="14.25" customHeight="1">
      <c r="A27" s="233" t="s">
        <v>283</v>
      </c>
      <c r="B27" s="235">
        <v>447.08</v>
      </c>
      <c r="C27" s="235">
        <v>10061.08</v>
      </c>
    </row>
    <row r="28" ht="14.25" customHeight="1">
      <c r="A28" s="233" t="s">
        <v>284</v>
      </c>
      <c r="B28" s="235">
        <v>229.05</v>
      </c>
      <c r="C28" s="235">
        <v>9054.46</v>
      </c>
    </row>
    <row r="29" ht="14.25" customHeight="1">
      <c r="A29" s="233" t="s">
        <v>278</v>
      </c>
      <c r="B29" s="235">
        <v>225.18</v>
      </c>
      <c r="C29" s="235">
        <v>4467.27</v>
      </c>
    </row>
    <row r="30" ht="14.25" customHeight="1">
      <c r="A30" s="233" t="s">
        <v>285</v>
      </c>
      <c r="B30" s="235">
        <v>15.26</v>
      </c>
      <c r="C30" s="235">
        <v>142.46</v>
      </c>
    </row>
    <row r="31" ht="14.25" customHeight="1">
      <c r="A31" s="233"/>
      <c r="B31" s="235"/>
      <c r="C31" s="235"/>
    </row>
    <row r="32" ht="14.25" customHeight="1">
      <c r="A32" s="233"/>
      <c r="B32" s="235"/>
      <c r="C32" s="235"/>
    </row>
    <row r="33" ht="14.25" customHeight="1">
      <c r="A33" s="231" t="s">
        <v>5</v>
      </c>
      <c r="B33" s="240">
        <f>B23+1</f>
        <v>45939</v>
      </c>
      <c r="C33" s="235"/>
    </row>
    <row r="34" ht="14.25" customHeight="1">
      <c r="A34" s="233" t="s">
        <v>268</v>
      </c>
      <c r="B34" s="235" t="s">
        <v>269</v>
      </c>
      <c r="C34" s="235" t="s">
        <v>270</v>
      </c>
    </row>
    <row r="35" ht="14.25" customHeight="1">
      <c r="A35" s="233" t="s">
        <v>286</v>
      </c>
      <c r="B35" s="234">
        <v>1181.45</v>
      </c>
      <c r="C35" s="235">
        <v>22405.6</v>
      </c>
    </row>
    <row r="36" ht="14.25" customHeight="1">
      <c r="A36" s="233" t="s">
        <v>287</v>
      </c>
      <c r="B36" s="235">
        <v>284.93</v>
      </c>
      <c r="C36" s="235">
        <v>6892.92</v>
      </c>
    </row>
    <row r="37" ht="14.25" customHeight="1">
      <c r="A37" s="233" t="s">
        <v>288</v>
      </c>
      <c r="B37" s="235">
        <v>539.98</v>
      </c>
      <c r="C37" s="235">
        <v>11076.44</v>
      </c>
    </row>
    <row r="38" ht="14.25" customHeight="1">
      <c r="A38" s="233" t="s">
        <v>289</v>
      </c>
      <c r="B38" s="235">
        <v>330.55</v>
      </c>
      <c r="C38" s="235">
        <v>4193.65</v>
      </c>
    </row>
    <row r="39" ht="14.25" customHeight="1">
      <c r="A39" s="233" t="s">
        <v>290</v>
      </c>
      <c r="B39" s="235">
        <v>25.99</v>
      </c>
      <c r="C39" s="235">
        <v>242.59</v>
      </c>
    </row>
    <row r="40" ht="14.25" customHeight="1">
      <c r="A40" s="233"/>
      <c r="B40" s="235"/>
      <c r="C40" s="235"/>
    </row>
    <row r="41" ht="14.25" customHeight="1">
      <c r="A41" s="231" t="s">
        <v>291</v>
      </c>
      <c r="B41" s="240">
        <f>B33+1</f>
        <v>45940</v>
      </c>
      <c r="C41" s="235"/>
    </row>
    <row r="42" ht="14.25" customHeight="1">
      <c r="A42" s="233"/>
      <c r="B42" s="235"/>
      <c r="C42" s="235"/>
    </row>
    <row r="43" ht="14.25" customHeight="1">
      <c r="A43" s="233" t="s">
        <v>268</v>
      </c>
      <c r="B43" s="233" t="s">
        <v>269</v>
      </c>
      <c r="C43" s="233" t="s">
        <v>270</v>
      </c>
    </row>
    <row r="44" ht="14.25" customHeight="1">
      <c r="A44" s="233" t="s">
        <v>292</v>
      </c>
      <c r="B44" s="234">
        <v>2023.06</v>
      </c>
      <c r="C44" s="235">
        <v>29633.45</v>
      </c>
    </row>
    <row r="45" ht="14.25" customHeight="1">
      <c r="A45" s="233" t="s">
        <v>293</v>
      </c>
      <c r="B45" s="235">
        <v>807.68</v>
      </c>
      <c r="C45" s="235">
        <v>11273.85</v>
      </c>
    </row>
    <row r="46" ht="14.25" customHeight="1">
      <c r="A46" s="233" t="s">
        <v>294</v>
      </c>
      <c r="B46" s="235">
        <v>909.83</v>
      </c>
      <c r="C46" s="235">
        <v>12076.84</v>
      </c>
    </row>
    <row r="47" ht="14.25" customHeight="1">
      <c r="A47" s="233" t="s">
        <v>289</v>
      </c>
      <c r="B47" s="235">
        <v>256.14</v>
      </c>
      <c r="C47" s="235">
        <v>5708.55</v>
      </c>
    </row>
    <row r="48" ht="14.25" customHeight="1">
      <c r="A48" s="233" t="s">
        <v>295</v>
      </c>
      <c r="B48" s="235">
        <v>32.31</v>
      </c>
      <c r="C48" s="235">
        <v>247.71</v>
      </c>
    </row>
    <row r="49" ht="14.25" customHeight="1">
      <c r="A49" s="233" t="s">
        <v>280</v>
      </c>
      <c r="B49" s="235">
        <v>17.1</v>
      </c>
      <c r="C49" s="235">
        <v>326.5</v>
      </c>
    </row>
    <row r="50" ht="14.25" customHeight="1">
      <c r="A50" s="233"/>
      <c r="B50" s="235"/>
      <c r="C50" s="235"/>
    </row>
    <row r="51" ht="14.25" customHeight="1">
      <c r="A51" s="231" t="s">
        <v>296</v>
      </c>
      <c r="B51" s="240">
        <f>B41+1</f>
        <v>45941</v>
      </c>
      <c r="C51" s="235"/>
    </row>
    <row r="52" ht="14.25" customHeight="1">
      <c r="A52" s="233"/>
      <c r="B52" s="235"/>
      <c r="C52" s="235"/>
    </row>
    <row r="53" ht="14.25" customHeight="1">
      <c r="A53" s="233" t="s">
        <v>268</v>
      </c>
      <c r="B53" s="233" t="s">
        <v>269</v>
      </c>
      <c r="C53" s="233" t="s">
        <v>270</v>
      </c>
    </row>
    <row r="54" ht="14.25" customHeight="1">
      <c r="A54" s="233" t="s">
        <v>297</v>
      </c>
      <c r="B54" s="234">
        <v>2711.2</v>
      </c>
      <c r="C54" s="235">
        <v>45922.34</v>
      </c>
    </row>
    <row r="55" ht="14.25" customHeight="1">
      <c r="A55" s="233" t="s">
        <v>298</v>
      </c>
      <c r="B55" s="235">
        <v>567.15</v>
      </c>
      <c r="C55" s="235">
        <v>15587.48</v>
      </c>
    </row>
    <row r="56" ht="14.25" customHeight="1">
      <c r="A56" s="233" t="s">
        <v>299</v>
      </c>
      <c r="B56" s="235">
        <v>1939.73</v>
      </c>
      <c r="C56" s="235">
        <v>27677.43</v>
      </c>
    </row>
    <row r="57" ht="14.25" customHeight="1">
      <c r="A57" s="233" t="s">
        <v>289</v>
      </c>
      <c r="B57" s="235">
        <v>204.32</v>
      </c>
      <c r="C57" s="235">
        <v>2657.43</v>
      </c>
    </row>
    <row r="58" ht="14.25" customHeight="1">
      <c r="A58" s="233" t="s">
        <v>290</v>
      </c>
      <c r="B58" s="235"/>
      <c r="C58" s="235"/>
    </row>
    <row r="59" ht="14.25" customHeight="1">
      <c r="A59" s="233"/>
      <c r="B59" s="235"/>
      <c r="C59" s="235"/>
    </row>
    <row r="60" ht="14.25" customHeight="1">
      <c r="A60" s="231" t="s">
        <v>8</v>
      </c>
      <c r="B60" s="240">
        <f>B51+1</f>
        <v>45942</v>
      </c>
      <c r="C60" s="235"/>
    </row>
    <row r="61" ht="14.25" customHeight="1">
      <c r="A61" s="233"/>
      <c r="B61" s="235"/>
      <c r="C61" s="235"/>
    </row>
    <row r="62" ht="14.25" customHeight="1">
      <c r="A62" s="233" t="s">
        <v>268</v>
      </c>
      <c r="B62" s="233" t="s">
        <v>269</v>
      </c>
      <c r="C62" s="233" t="s">
        <v>270</v>
      </c>
    </row>
    <row r="63" ht="14.25" customHeight="1">
      <c r="A63" s="233" t="s">
        <v>300</v>
      </c>
      <c r="B63" s="234">
        <v>2083.29</v>
      </c>
      <c r="C63" s="235">
        <v>27791.93</v>
      </c>
    </row>
    <row r="64" ht="14.25" customHeight="1">
      <c r="A64" s="233" t="s">
        <v>301</v>
      </c>
      <c r="B64" s="235">
        <v>1539.92</v>
      </c>
      <c r="C64" s="235">
        <v>18480.18</v>
      </c>
    </row>
    <row r="65" ht="14.25" customHeight="1">
      <c r="A65" s="233" t="s">
        <v>302</v>
      </c>
      <c r="B65" s="235">
        <v>346.59</v>
      </c>
      <c r="C65" s="235">
        <v>6244.31</v>
      </c>
    </row>
    <row r="66" ht="14.25" customHeight="1">
      <c r="A66" s="233" t="s">
        <v>303</v>
      </c>
      <c r="B66" s="235">
        <v>196.78</v>
      </c>
      <c r="C66" s="235">
        <v>3067.44</v>
      </c>
    </row>
    <row r="67" ht="14.25" customHeight="1">
      <c r="A67" s="233" t="s">
        <v>304</v>
      </c>
      <c r="B67" s="235"/>
      <c r="C67" s="235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6.71"/>
    <col customWidth="1" min="3" max="3" width="12.14"/>
    <col customWidth="1" min="4" max="4" width="9.86"/>
    <col customWidth="1" min="5" max="5" width="9.29"/>
    <col customWidth="1" min="6" max="7" width="8.71"/>
    <col customWidth="1" min="8" max="8" width="19.71"/>
    <col customWidth="1" min="9" max="9" width="9.0"/>
    <col customWidth="1" min="10" max="10" width="11.0"/>
    <col customWidth="1" min="11" max="12" width="9.0"/>
    <col customWidth="1" min="13" max="26" width="8.71"/>
  </cols>
  <sheetData>
    <row r="1" ht="14.25" customHeight="1">
      <c r="A1" s="233" t="s">
        <v>114</v>
      </c>
      <c r="B1" s="233" t="s">
        <v>305</v>
      </c>
      <c r="C1" s="233" t="s">
        <v>306</v>
      </c>
      <c r="D1" s="233" t="s">
        <v>9</v>
      </c>
      <c r="E1" s="233" t="s">
        <v>307</v>
      </c>
      <c r="H1" s="241" t="s">
        <v>308</v>
      </c>
      <c r="I1" s="241" t="s">
        <v>309</v>
      </c>
      <c r="J1" s="241" t="s">
        <v>114</v>
      </c>
      <c r="K1" s="242" t="s">
        <v>310</v>
      </c>
      <c r="L1" s="242" t="s">
        <v>174</v>
      </c>
      <c r="M1" s="242"/>
      <c r="N1" s="242"/>
    </row>
    <row r="2" ht="14.25" customHeight="1">
      <c r="A2" s="233" t="s">
        <v>311</v>
      </c>
      <c r="B2" s="233" t="s">
        <v>312</v>
      </c>
      <c r="C2" s="235">
        <v>0.0</v>
      </c>
      <c r="D2" s="235">
        <v>225.0</v>
      </c>
      <c r="E2" s="243">
        <f t="shared" ref="E2:E90" si="1">D2-C2</f>
        <v>225</v>
      </c>
      <c r="H2" s="244" t="s">
        <v>313</v>
      </c>
      <c r="I2" s="245">
        <v>236171.0</v>
      </c>
      <c r="J2" s="246">
        <v>45936.0</v>
      </c>
      <c r="K2" s="247">
        <v>0.968136574074074</v>
      </c>
      <c r="L2" s="248">
        <v>218.9</v>
      </c>
      <c r="M2" s="249">
        <f>E2-L2</f>
        <v>6.1</v>
      </c>
      <c r="N2" s="249"/>
    </row>
    <row r="3" ht="14.25" customHeight="1">
      <c r="A3" s="233" t="s">
        <v>314</v>
      </c>
      <c r="B3" s="233" t="s">
        <v>315</v>
      </c>
      <c r="C3" s="235">
        <v>33.6</v>
      </c>
      <c r="D3" s="235">
        <v>201.6</v>
      </c>
      <c r="E3" s="243">
        <f t="shared" si="1"/>
        <v>168</v>
      </c>
      <c r="H3" s="244" t="s">
        <v>313</v>
      </c>
      <c r="I3" s="245">
        <v>236159.0</v>
      </c>
      <c r="J3" s="246">
        <v>45936.0</v>
      </c>
      <c r="K3" s="247">
        <v>0.9525694444444445</v>
      </c>
      <c r="L3" s="248">
        <v>168.0</v>
      </c>
      <c r="M3" s="249">
        <f>(E3+E4+E5)-(L3+L4+L5)</f>
        <v>2.7</v>
      </c>
      <c r="N3" s="249"/>
    </row>
    <row r="4" ht="14.25" customHeight="1">
      <c r="A4" s="233" t="s">
        <v>316</v>
      </c>
      <c r="B4" s="233" t="s">
        <v>317</v>
      </c>
      <c r="C4" s="235">
        <v>33.6</v>
      </c>
      <c r="D4" s="235">
        <v>201.6</v>
      </c>
      <c r="E4" s="243">
        <f t="shared" si="1"/>
        <v>168</v>
      </c>
      <c r="H4" s="244" t="s">
        <v>313</v>
      </c>
      <c r="I4" s="245">
        <v>236159.0</v>
      </c>
      <c r="J4" s="246">
        <v>45936.0</v>
      </c>
      <c r="K4" s="247">
        <v>0.9526273148148148</v>
      </c>
      <c r="L4" s="248">
        <v>168.0</v>
      </c>
      <c r="M4" s="249"/>
      <c r="N4" s="249"/>
    </row>
    <row r="5" ht="14.25" customHeight="1">
      <c r="A5" s="233" t="s">
        <v>318</v>
      </c>
      <c r="B5" s="233" t="s">
        <v>319</v>
      </c>
      <c r="C5" s="235">
        <v>0.0</v>
      </c>
      <c r="D5" s="235">
        <v>168.0</v>
      </c>
      <c r="E5" s="243">
        <f t="shared" si="1"/>
        <v>168</v>
      </c>
      <c r="H5" s="244" t="s">
        <v>313</v>
      </c>
      <c r="I5" s="245">
        <v>236159.0</v>
      </c>
      <c r="J5" s="246">
        <v>45936.0</v>
      </c>
      <c r="K5" s="247">
        <v>0.9526736111111112</v>
      </c>
      <c r="L5" s="248">
        <v>165.3</v>
      </c>
      <c r="M5" s="249"/>
      <c r="N5" s="249"/>
    </row>
    <row r="6" ht="14.25" customHeight="1">
      <c r="A6" s="233" t="s">
        <v>320</v>
      </c>
      <c r="B6" s="233" t="s">
        <v>321</v>
      </c>
      <c r="C6" s="235">
        <v>0.0</v>
      </c>
      <c r="D6" s="235">
        <v>1849.51</v>
      </c>
      <c r="E6" s="250">
        <f t="shared" si="1"/>
        <v>1849.51</v>
      </c>
      <c r="H6" s="244" t="s">
        <v>313</v>
      </c>
      <c r="I6" s="245">
        <v>236157.0</v>
      </c>
      <c r="J6" s="246">
        <v>45936.0</v>
      </c>
      <c r="K6" s="247">
        <v>0.9513657407407408</v>
      </c>
      <c r="L6" s="251">
        <v>1849.51</v>
      </c>
      <c r="M6" s="249"/>
      <c r="N6" s="249"/>
    </row>
    <row r="7" ht="14.25" customHeight="1">
      <c r="A7" s="233" t="s">
        <v>322</v>
      </c>
      <c r="B7" s="233" t="s">
        <v>323</v>
      </c>
      <c r="C7" s="235">
        <v>0.0</v>
      </c>
      <c r="D7" s="235">
        <v>1798.65</v>
      </c>
      <c r="E7" s="250">
        <f t="shared" si="1"/>
        <v>1798.65</v>
      </c>
      <c r="H7" s="244" t="s">
        <v>313</v>
      </c>
      <c r="I7" s="245">
        <v>236144.0</v>
      </c>
      <c r="J7" s="246">
        <v>45936.0</v>
      </c>
      <c r="K7" s="247">
        <v>0.9191087962962963</v>
      </c>
      <c r="L7" s="251">
        <v>1798.65</v>
      </c>
      <c r="M7" s="249"/>
      <c r="N7" s="249"/>
    </row>
    <row r="8" ht="14.25" customHeight="1">
      <c r="A8" s="233" t="s">
        <v>324</v>
      </c>
      <c r="B8" s="233" t="s">
        <v>325</v>
      </c>
      <c r="C8" s="235">
        <v>0.0</v>
      </c>
      <c r="D8" s="235">
        <v>1290.0</v>
      </c>
      <c r="E8" s="250">
        <f t="shared" si="1"/>
        <v>1290</v>
      </c>
      <c r="H8" s="244" t="s">
        <v>313</v>
      </c>
      <c r="I8" s="245">
        <v>236163.0</v>
      </c>
      <c r="J8" s="246">
        <v>45936.0</v>
      </c>
      <c r="K8" s="247">
        <v>0.9647916666666667</v>
      </c>
      <c r="L8" s="251">
        <v>1290.0</v>
      </c>
      <c r="M8" s="249"/>
      <c r="N8" s="249"/>
    </row>
    <row r="9" ht="14.25" customHeight="1">
      <c r="A9" s="233" t="s">
        <v>326</v>
      </c>
      <c r="B9" s="233" t="s">
        <v>327</v>
      </c>
      <c r="C9" s="235">
        <v>0.0</v>
      </c>
      <c r="D9" s="235">
        <v>993.49</v>
      </c>
      <c r="E9" s="250">
        <f t="shared" si="1"/>
        <v>993.49</v>
      </c>
      <c r="H9" s="244" t="s">
        <v>313</v>
      </c>
      <c r="I9" s="245">
        <v>236131.0</v>
      </c>
      <c r="J9" s="246">
        <v>45936.0</v>
      </c>
      <c r="K9" s="247">
        <v>0.906724537037037</v>
      </c>
      <c r="L9" s="251">
        <v>993.49</v>
      </c>
      <c r="M9" s="249"/>
      <c r="N9" s="249"/>
    </row>
    <row r="10" ht="14.25" customHeight="1">
      <c r="A10" s="233" t="s">
        <v>328</v>
      </c>
      <c r="B10" s="233" t="s">
        <v>329</v>
      </c>
      <c r="C10" s="235">
        <v>0.0</v>
      </c>
      <c r="D10" s="235">
        <v>731.48</v>
      </c>
      <c r="E10" s="250">
        <f t="shared" si="1"/>
        <v>731.48</v>
      </c>
      <c r="H10" s="244" t="s">
        <v>313</v>
      </c>
      <c r="I10" s="245">
        <v>236104.0</v>
      </c>
      <c r="J10" s="246">
        <v>45936.0</v>
      </c>
      <c r="K10" s="247">
        <v>0.8543518518518518</v>
      </c>
      <c r="L10" s="251">
        <v>731.48</v>
      </c>
      <c r="M10" s="249"/>
      <c r="N10" s="249"/>
    </row>
    <row r="11" ht="14.25" customHeight="1">
      <c r="A11" s="233" t="s">
        <v>330</v>
      </c>
      <c r="B11" s="233" t="s">
        <v>331</v>
      </c>
      <c r="C11" s="235">
        <v>0.0</v>
      </c>
      <c r="D11" s="235">
        <v>681.3</v>
      </c>
      <c r="E11" s="250">
        <f t="shared" si="1"/>
        <v>681.3</v>
      </c>
      <c r="H11" s="244" t="s">
        <v>313</v>
      </c>
      <c r="I11" s="245">
        <v>236171.0</v>
      </c>
      <c r="J11" s="246">
        <v>45936.0</v>
      </c>
      <c r="K11" s="247">
        <v>0.9567824074074074</v>
      </c>
      <c r="L11" s="251">
        <v>694.01</v>
      </c>
      <c r="M11" s="249"/>
      <c r="N11" s="249"/>
    </row>
    <row r="12" ht="14.25" customHeight="1">
      <c r="A12" s="233" t="s">
        <v>332</v>
      </c>
      <c r="B12" s="233" t="s">
        <v>333</v>
      </c>
      <c r="C12" s="235">
        <v>0.0</v>
      </c>
      <c r="D12" s="235">
        <v>524.36</v>
      </c>
      <c r="E12" s="250">
        <f t="shared" si="1"/>
        <v>524.36</v>
      </c>
      <c r="H12" s="244" t="s">
        <v>313</v>
      </c>
      <c r="I12" s="245">
        <v>236164.0</v>
      </c>
      <c r="J12" s="246">
        <v>45936.0</v>
      </c>
      <c r="K12" s="247">
        <v>0.9406828703703703</v>
      </c>
      <c r="L12" s="251">
        <v>681.3</v>
      </c>
      <c r="M12" s="249"/>
      <c r="N12" s="249"/>
    </row>
    <row r="13" ht="14.25" customHeight="1">
      <c r="A13" s="233" t="s">
        <v>334</v>
      </c>
      <c r="B13" s="233" t="s">
        <v>335</v>
      </c>
      <c r="C13" s="235">
        <v>65.37</v>
      </c>
      <c r="D13" s="235">
        <v>501.17</v>
      </c>
      <c r="E13" s="250">
        <f t="shared" si="1"/>
        <v>435.8</v>
      </c>
      <c r="H13" s="244" t="s">
        <v>313</v>
      </c>
      <c r="I13" s="245">
        <v>236136.0</v>
      </c>
      <c r="J13" s="246">
        <v>45936.0</v>
      </c>
      <c r="K13" s="247">
        <v>0.9014583333333334</v>
      </c>
      <c r="L13" s="251">
        <v>524.36</v>
      </c>
      <c r="M13" s="249"/>
      <c r="N13" s="249"/>
    </row>
    <row r="14" ht="14.25" customHeight="1">
      <c r="A14" s="233" t="s">
        <v>336</v>
      </c>
      <c r="B14" s="233" t="s">
        <v>337</v>
      </c>
      <c r="C14" s="235">
        <v>40.0</v>
      </c>
      <c r="D14" s="235">
        <v>470.8</v>
      </c>
      <c r="E14" s="250">
        <f t="shared" si="1"/>
        <v>430.8</v>
      </c>
      <c r="H14" s="244" t="s">
        <v>313</v>
      </c>
      <c r="I14" s="245">
        <v>236147.0</v>
      </c>
      <c r="J14" s="246">
        <v>45936.0</v>
      </c>
      <c r="K14" s="247">
        <v>0.9558449074074075</v>
      </c>
      <c r="L14" s="251">
        <v>435.8</v>
      </c>
      <c r="M14" s="249"/>
      <c r="N14" s="249"/>
    </row>
    <row r="15" ht="14.25" customHeight="1">
      <c r="A15" s="233" t="s">
        <v>338</v>
      </c>
      <c r="B15" s="233" t="s">
        <v>339</v>
      </c>
      <c r="C15" s="235">
        <v>47.36</v>
      </c>
      <c r="D15" s="235">
        <v>442.06</v>
      </c>
      <c r="E15" s="250">
        <f t="shared" si="1"/>
        <v>394.7</v>
      </c>
      <c r="H15" s="244" t="s">
        <v>313</v>
      </c>
      <c r="I15" s="245">
        <v>236083.0</v>
      </c>
      <c r="J15" s="246">
        <v>45936.0</v>
      </c>
      <c r="K15" s="247">
        <v>0.8403472222222222</v>
      </c>
      <c r="L15" s="251">
        <v>430.8</v>
      </c>
      <c r="M15" s="249"/>
      <c r="N15" s="249"/>
    </row>
    <row r="16" ht="14.25" customHeight="1">
      <c r="A16" s="233" t="s">
        <v>340</v>
      </c>
      <c r="B16" s="233" t="s">
        <v>341</v>
      </c>
      <c r="C16" s="235">
        <v>39.7</v>
      </c>
      <c r="D16" s="235">
        <v>370.5</v>
      </c>
      <c r="E16" s="250">
        <f t="shared" si="1"/>
        <v>330.8</v>
      </c>
      <c r="H16" s="244" t="s">
        <v>313</v>
      </c>
      <c r="I16" s="245">
        <v>236115.0</v>
      </c>
      <c r="J16" s="246">
        <v>45936.0</v>
      </c>
      <c r="K16" s="247">
        <v>0.9196643518518518</v>
      </c>
      <c r="L16" s="251">
        <v>394.7</v>
      </c>
      <c r="M16" s="249"/>
      <c r="N16" s="249"/>
    </row>
    <row r="17" ht="14.25" customHeight="1">
      <c r="A17" s="233" t="s">
        <v>342</v>
      </c>
      <c r="B17" s="233" t="s">
        <v>343</v>
      </c>
      <c r="C17" s="235">
        <v>65.56</v>
      </c>
      <c r="D17" s="235">
        <v>393.36</v>
      </c>
      <c r="E17" s="250">
        <f t="shared" si="1"/>
        <v>327.8</v>
      </c>
      <c r="H17" s="244" t="s">
        <v>313</v>
      </c>
      <c r="I17" s="245">
        <v>236120.0</v>
      </c>
      <c r="J17" s="246">
        <v>45936.0</v>
      </c>
      <c r="K17" s="247">
        <v>0.8715625</v>
      </c>
      <c r="L17" s="251">
        <v>330.8</v>
      </c>
      <c r="M17" s="249"/>
      <c r="N17" s="249"/>
    </row>
    <row r="18" ht="14.25" customHeight="1">
      <c r="A18" s="233" t="s">
        <v>344</v>
      </c>
      <c r="B18" s="233" t="s">
        <v>345</v>
      </c>
      <c r="C18" s="235">
        <v>37.91</v>
      </c>
      <c r="D18" s="235">
        <v>353.81</v>
      </c>
      <c r="E18" s="250">
        <f t="shared" si="1"/>
        <v>315.9</v>
      </c>
      <c r="H18" s="244" t="s">
        <v>313</v>
      </c>
      <c r="I18" s="245">
        <v>236116.0</v>
      </c>
      <c r="J18" s="246">
        <v>45936.0</v>
      </c>
      <c r="K18" s="247">
        <v>0.9549768518518519</v>
      </c>
      <c r="L18" s="251">
        <v>327.8</v>
      </c>
      <c r="M18" s="249"/>
      <c r="N18" s="249"/>
    </row>
    <row r="19" ht="14.25" customHeight="1">
      <c r="A19" s="233" t="s">
        <v>346</v>
      </c>
      <c r="B19" s="233" t="s">
        <v>347</v>
      </c>
      <c r="C19" s="235">
        <v>34.12</v>
      </c>
      <c r="D19" s="235">
        <v>318.47</v>
      </c>
      <c r="E19" s="250">
        <f t="shared" si="1"/>
        <v>284.35</v>
      </c>
      <c r="H19" s="244" t="s">
        <v>313</v>
      </c>
      <c r="I19" s="245">
        <v>236117.0</v>
      </c>
      <c r="J19" s="246">
        <v>45936.0</v>
      </c>
      <c r="K19" s="247">
        <v>0.8873032407407407</v>
      </c>
      <c r="L19" s="251">
        <v>315.9</v>
      </c>
      <c r="M19" s="249"/>
      <c r="N19" s="249"/>
    </row>
    <row r="20" ht="14.25" customHeight="1">
      <c r="A20" s="233" t="s">
        <v>348</v>
      </c>
      <c r="B20" s="233" t="s">
        <v>349</v>
      </c>
      <c r="C20" s="235">
        <v>41.3</v>
      </c>
      <c r="D20" s="235">
        <v>316.6</v>
      </c>
      <c r="E20" s="250">
        <f t="shared" si="1"/>
        <v>275.3</v>
      </c>
      <c r="H20" s="244" t="s">
        <v>313</v>
      </c>
      <c r="I20" s="245">
        <v>236090.0</v>
      </c>
      <c r="J20" s="246">
        <v>45936.0</v>
      </c>
      <c r="K20" s="247">
        <v>0.8399421296296297</v>
      </c>
      <c r="L20" s="251">
        <v>284.35</v>
      </c>
      <c r="M20" s="249"/>
      <c r="N20" s="249"/>
    </row>
    <row r="21" ht="14.25" customHeight="1">
      <c r="A21" s="233" t="s">
        <v>350</v>
      </c>
      <c r="B21" s="233" t="s">
        <v>351</v>
      </c>
      <c r="C21" s="235">
        <v>0.0</v>
      </c>
      <c r="D21" s="235">
        <v>259.8</v>
      </c>
      <c r="E21" s="250">
        <f t="shared" si="1"/>
        <v>259.8</v>
      </c>
      <c r="H21" s="244" t="s">
        <v>313</v>
      </c>
      <c r="I21" s="245">
        <v>236134.0</v>
      </c>
      <c r="J21" s="246">
        <v>45936.0</v>
      </c>
      <c r="K21" s="247">
        <v>0.9557407407407408</v>
      </c>
      <c r="L21" s="251">
        <v>275.3</v>
      </c>
      <c r="M21" s="249"/>
      <c r="N21" s="249"/>
    </row>
    <row r="22" ht="14.25" customHeight="1">
      <c r="A22" s="233" t="s">
        <v>352</v>
      </c>
      <c r="B22" s="233" t="s">
        <v>353</v>
      </c>
      <c r="C22" s="235">
        <v>38.0</v>
      </c>
      <c r="D22" s="235">
        <v>291.3</v>
      </c>
      <c r="E22" s="250">
        <f t="shared" si="1"/>
        <v>253.3</v>
      </c>
      <c r="H22" s="244" t="s">
        <v>313</v>
      </c>
      <c r="I22" s="245">
        <v>236170.0</v>
      </c>
      <c r="J22" s="246">
        <v>45936.0</v>
      </c>
      <c r="K22" s="247">
        <v>0.9645486111111111</v>
      </c>
      <c r="L22" s="251">
        <v>259.8</v>
      </c>
      <c r="M22" s="249"/>
      <c r="N22" s="249"/>
    </row>
    <row r="23" ht="14.25" customHeight="1">
      <c r="A23" s="233" t="s">
        <v>354</v>
      </c>
      <c r="B23" s="233" t="s">
        <v>355</v>
      </c>
      <c r="C23" s="235">
        <v>0.0</v>
      </c>
      <c r="D23" s="235">
        <v>243.5</v>
      </c>
      <c r="E23" s="250">
        <f t="shared" si="1"/>
        <v>243.5</v>
      </c>
      <c r="H23" s="244" t="s">
        <v>313</v>
      </c>
      <c r="I23" s="245">
        <v>236142.0</v>
      </c>
      <c r="J23" s="246">
        <v>45936.0</v>
      </c>
      <c r="K23" s="247">
        <v>0.8842824074074074</v>
      </c>
      <c r="L23" s="251">
        <v>253.3</v>
      </c>
      <c r="M23" s="249"/>
      <c r="N23" s="249"/>
    </row>
    <row r="24" ht="14.25" customHeight="1">
      <c r="A24" s="233" t="s">
        <v>356</v>
      </c>
      <c r="B24" s="233" t="s">
        <v>357</v>
      </c>
      <c r="C24" s="235">
        <v>28.43</v>
      </c>
      <c r="D24" s="235">
        <v>265.33</v>
      </c>
      <c r="E24" s="250">
        <f t="shared" si="1"/>
        <v>236.9</v>
      </c>
      <c r="H24" s="244" t="s">
        <v>313</v>
      </c>
      <c r="I24" s="245">
        <v>236137.0</v>
      </c>
      <c r="J24" s="246">
        <v>45936.0</v>
      </c>
      <c r="K24" s="247">
        <v>0.8825231481481481</v>
      </c>
      <c r="L24" s="251">
        <v>243.5</v>
      </c>
      <c r="M24" s="249"/>
      <c r="N24" s="249"/>
    </row>
    <row r="25" ht="14.25" customHeight="1">
      <c r="A25" s="233" t="s">
        <v>358</v>
      </c>
      <c r="B25" s="233" t="s">
        <v>359</v>
      </c>
      <c r="C25" s="235">
        <v>27.56</v>
      </c>
      <c r="D25" s="235">
        <v>257.26</v>
      </c>
      <c r="E25" s="250">
        <f t="shared" si="1"/>
        <v>229.7</v>
      </c>
      <c r="H25" s="244" t="s">
        <v>313</v>
      </c>
      <c r="I25" s="245">
        <v>236162.0</v>
      </c>
      <c r="J25" s="246">
        <v>45936.0</v>
      </c>
      <c r="K25" s="247">
        <v>0.9559722222222222</v>
      </c>
      <c r="L25" s="251">
        <v>236.9</v>
      </c>
      <c r="M25" s="249"/>
      <c r="N25" s="249"/>
    </row>
    <row r="26" ht="14.25" customHeight="1">
      <c r="A26" s="233" t="s">
        <v>360</v>
      </c>
      <c r="B26" s="233" t="s">
        <v>349</v>
      </c>
      <c r="C26" s="235">
        <v>0.0</v>
      </c>
      <c r="D26" s="235">
        <v>225.46</v>
      </c>
      <c r="E26" s="250">
        <f t="shared" si="1"/>
        <v>225.46</v>
      </c>
      <c r="H26" s="244" t="s">
        <v>313</v>
      </c>
      <c r="I26" s="245">
        <v>236153.0</v>
      </c>
      <c r="J26" s="246">
        <v>45936.0</v>
      </c>
      <c r="K26" s="247">
        <v>0.9211226851851851</v>
      </c>
      <c r="L26" s="251">
        <v>229.7</v>
      </c>
      <c r="M26" s="249"/>
      <c r="N26" s="249"/>
    </row>
    <row r="27" ht="14.25" customHeight="1">
      <c r="A27" s="233" t="s">
        <v>361</v>
      </c>
      <c r="B27" s="233" t="s">
        <v>362</v>
      </c>
      <c r="C27" s="235">
        <v>0.0</v>
      </c>
      <c r="D27" s="235">
        <v>225.46</v>
      </c>
      <c r="E27" s="250">
        <f t="shared" si="1"/>
        <v>225.46</v>
      </c>
      <c r="H27" s="244" t="s">
        <v>313</v>
      </c>
      <c r="I27" s="245">
        <v>236112.0</v>
      </c>
      <c r="J27" s="246">
        <v>45936.0</v>
      </c>
      <c r="K27" s="247">
        <v>0.8867939814814815</v>
      </c>
      <c r="L27" s="251">
        <v>225.46</v>
      </c>
      <c r="M27" s="249"/>
      <c r="N27" s="249"/>
    </row>
    <row r="28" ht="14.25" customHeight="1">
      <c r="A28" s="233" t="s">
        <v>363</v>
      </c>
      <c r="B28" s="233" t="s">
        <v>364</v>
      </c>
      <c r="C28" s="235">
        <v>0.0</v>
      </c>
      <c r="D28" s="235">
        <v>225.46</v>
      </c>
      <c r="E28" s="250">
        <f t="shared" si="1"/>
        <v>225.46</v>
      </c>
      <c r="H28" s="244" t="s">
        <v>313</v>
      </c>
      <c r="I28" s="245">
        <v>236112.0</v>
      </c>
      <c r="J28" s="246">
        <v>45936.0</v>
      </c>
      <c r="K28" s="247">
        <v>0.8866666666666667</v>
      </c>
      <c r="L28" s="251">
        <v>225.46</v>
      </c>
      <c r="M28" s="249"/>
      <c r="N28" s="249"/>
    </row>
    <row r="29" ht="14.25" customHeight="1">
      <c r="A29" s="233" t="s">
        <v>365</v>
      </c>
      <c r="B29" s="233" t="s">
        <v>366</v>
      </c>
      <c r="C29" s="235">
        <v>0.0</v>
      </c>
      <c r="D29" s="235">
        <v>225.46</v>
      </c>
      <c r="E29" s="250">
        <f t="shared" si="1"/>
        <v>225.46</v>
      </c>
      <c r="H29" s="244" t="s">
        <v>313</v>
      </c>
      <c r="I29" s="245">
        <v>236112.0</v>
      </c>
      <c r="J29" s="246">
        <v>45936.0</v>
      </c>
      <c r="K29" s="247">
        <v>0.8865625</v>
      </c>
      <c r="L29" s="251">
        <v>225.46</v>
      </c>
      <c r="M29" s="249"/>
      <c r="N29" s="249"/>
    </row>
    <row r="30" ht="14.25" customHeight="1">
      <c r="A30" s="233" t="s">
        <v>367</v>
      </c>
      <c r="B30" s="233" t="s">
        <v>368</v>
      </c>
      <c r="C30" s="235">
        <v>44.02</v>
      </c>
      <c r="D30" s="235">
        <v>264.12</v>
      </c>
      <c r="E30" s="250">
        <f t="shared" si="1"/>
        <v>220.1</v>
      </c>
      <c r="H30" s="244" t="s">
        <v>313</v>
      </c>
      <c r="I30" s="245">
        <v>236112.0</v>
      </c>
      <c r="J30" s="246">
        <v>45936.0</v>
      </c>
      <c r="K30" s="247">
        <v>0.8868981481481482</v>
      </c>
      <c r="L30" s="251">
        <v>225.42</v>
      </c>
      <c r="M30" s="249"/>
      <c r="N30" s="249"/>
    </row>
    <row r="31" ht="14.25" customHeight="1">
      <c r="A31" s="233" t="s">
        <v>367</v>
      </c>
      <c r="B31" s="233" t="s">
        <v>369</v>
      </c>
      <c r="C31" s="235">
        <v>26.41</v>
      </c>
      <c r="D31" s="235">
        <v>246.51</v>
      </c>
      <c r="E31" s="250">
        <f t="shared" si="1"/>
        <v>220.1</v>
      </c>
      <c r="H31" s="244" t="s">
        <v>313</v>
      </c>
      <c r="I31" s="245">
        <v>236121.0</v>
      </c>
      <c r="J31" s="246">
        <v>45936.0</v>
      </c>
      <c r="K31" s="247">
        <v>0.9059837962962963</v>
      </c>
      <c r="L31" s="251">
        <v>220.1</v>
      </c>
      <c r="M31" s="249"/>
      <c r="N31" s="249"/>
    </row>
    <row r="32" ht="14.25" customHeight="1">
      <c r="A32" s="233" t="s">
        <v>370</v>
      </c>
      <c r="B32" s="233" t="s">
        <v>371</v>
      </c>
      <c r="C32" s="235">
        <v>55.0</v>
      </c>
      <c r="D32" s="235">
        <v>274.65</v>
      </c>
      <c r="E32" s="250">
        <f t="shared" si="1"/>
        <v>219.65</v>
      </c>
      <c r="H32" s="244" t="s">
        <v>313</v>
      </c>
      <c r="I32" s="245">
        <v>236121.0</v>
      </c>
      <c r="J32" s="246">
        <v>45936.0</v>
      </c>
      <c r="K32" s="247">
        <v>0.9059722222222222</v>
      </c>
      <c r="L32" s="251">
        <v>220.1</v>
      </c>
      <c r="M32" s="249"/>
      <c r="N32" s="249"/>
    </row>
    <row r="33" ht="14.25" customHeight="1">
      <c r="A33" s="233" t="s">
        <v>324</v>
      </c>
      <c r="B33" s="233" t="s">
        <v>372</v>
      </c>
      <c r="C33" s="235">
        <v>43.93</v>
      </c>
      <c r="D33" s="235">
        <v>263.58</v>
      </c>
      <c r="E33" s="250">
        <f t="shared" si="1"/>
        <v>219.65</v>
      </c>
      <c r="H33" s="244" t="s">
        <v>313</v>
      </c>
      <c r="I33" s="245">
        <v>236155.0</v>
      </c>
      <c r="J33" s="246">
        <v>45936.0</v>
      </c>
      <c r="K33" s="247">
        <v>0.9583333333333334</v>
      </c>
      <c r="L33" s="251">
        <v>219.65</v>
      </c>
      <c r="M33" s="249"/>
      <c r="N33" s="249"/>
    </row>
    <row r="34" ht="14.25" customHeight="1">
      <c r="A34" s="233" t="s">
        <v>373</v>
      </c>
      <c r="B34" s="233" t="s">
        <v>374</v>
      </c>
      <c r="C34" s="235">
        <v>31.34</v>
      </c>
      <c r="D34" s="235">
        <v>240.24</v>
      </c>
      <c r="E34" s="250">
        <f t="shared" si="1"/>
        <v>208.9</v>
      </c>
      <c r="H34" s="244" t="s">
        <v>313</v>
      </c>
      <c r="I34" s="245">
        <v>236155.0</v>
      </c>
      <c r="J34" s="246">
        <v>45936.0</v>
      </c>
      <c r="K34" s="247">
        <v>0.9583449074074074</v>
      </c>
      <c r="L34" s="251">
        <v>219.65</v>
      </c>
      <c r="M34" s="249"/>
      <c r="N34" s="249"/>
    </row>
    <row r="35" ht="14.25" customHeight="1">
      <c r="A35" s="233" t="s">
        <v>375</v>
      </c>
      <c r="B35" s="233" t="s">
        <v>376</v>
      </c>
      <c r="C35" s="235">
        <v>24.82</v>
      </c>
      <c r="D35" s="235">
        <v>231.67</v>
      </c>
      <c r="E35" s="250">
        <f t="shared" si="1"/>
        <v>206.85</v>
      </c>
      <c r="H35" s="244" t="s">
        <v>313</v>
      </c>
      <c r="I35" s="245">
        <v>236119.0</v>
      </c>
      <c r="J35" s="246">
        <v>45936.0</v>
      </c>
      <c r="K35" s="247">
        <v>0.8696180555555556</v>
      </c>
      <c r="L35" s="251">
        <v>208.9</v>
      </c>
      <c r="M35" s="249"/>
      <c r="N35" s="249"/>
    </row>
    <row r="36" ht="14.25" customHeight="1">
      <c r="A36" s="233" t="s">
        <v>338</v>
      </c>
      <c r="B36" s="233" t="s">
        <v>377</v>
      </c>
      <c r="C36" s="235">
        <v>24.82</v>
      </c>
      <c r="D36" s="235">
        <v>231.67</v>
      </c>
      <c r="E36" s="250">
        <f t="shared" si="1"/>
        <v>206.85</v>
      </c>
      <c r="H36" s="244" t="s">
        <v>313</v>
      </c>
      <c r="I36" s="245">
        <v>236110.0</v>
      </c>
      <c r="J36" s="246">
        <v>45936.0</v>
      </c>
      <c r="K36" s="247">
        <v>0.9194907407407408</v>
      </c>
      <c r="L36" s="251">
        <v>206.85</v>
      </c>
      <c r="M36" s="249"/>
      <c r="N36" s="249"/>
    </row>
    <row r="37" ht="14.25" customHeight="1">
      <c r="A37" s="233" t="s">
        <v>378</v>
      </c>
      <c r="B37" s="233" t="s">
        <v>379</v>
      </c>
      <c r="C37" s="235">
        <v>30.66</v>
      </c>
      <c r="D37" s="235">
        <v>235.06</v>
      </c>
      <c r="E37" s="250">
        <f t="shared" si="1"/>
        <v>204.4</v>
      </c>
      <c r="H37" s="244" t="s">
        <v>313</v>
      </c>
      <c r="I37" s="245">
        <v>236110.0</v>
      </c>
      <c r="J37" s="246">
        <v>45936.0</v>
      </c>
      <c r="K37" s="247">
        <v>0.9195138888888889</v>
      </c>
      <c r="L37" s="251">
        <v>206.85</v>
      </c>
      <c r="M37" s="249"/>
      <c r="N37" s="249"/>
    </row>
    <row r="38" ht="14.25" customHeight="1">
      <c r="A38" s="233" t="s">
        <v>380</v>
      </c>
      <c r="B38" s="233" t="s">
        <v>381</v>
      </c>
      <c r="C38" s="235">
        <v>7.2</v>
      </c>
      <c r="D38" s="235">
        <v>210.0</v>
      </c>
      <c r="E38" s="250">
        <f t="shared" si="1"/>
        <v>202.8</v>
      </c>
      <c r="H38" s="244" t="s">
        <v>313</v>
      </c>
      <c r="I38" s="245">
        <v>236143.0</v>
      </c>
      <c r="J38" s="246">
        <v>45936.0</v>
      </c>
      <c r="K38" s="247">
        <v>0.8888078703703703</v>
      </c>
      <c r="L38" s="251">
        <v>204.4</v>
      </c>
      <c r="M38" s="249"/>
      <c r="N38" s="249"/>
    </row>
    <row r="39" ht="14.25" customHeight="1">
      <c r="A39" s="233" t="s">
        <v>382</v>
      </c>
      <c r="B39" s="233" t="s">
        <v>383</v>
      </c>
      <c r="C39" s="235">
        <v>30.03</v>
      </c>
      <c r="D39" s="235">
        <v>230.23</v>
      </c>
      <c r="E39" s="250">
        <f t="shared" si="1"/>
        <v>200.2</v>
      </c>
      <c r="H39" s="244" t="s">
        <v>313</v>
      </c>
      <c r="I39" s="245">
        <v>236152.0</v>
      </c>
      <c r="J39" s="246">
        <v>45936.0</v>
      </c>
      <c r="K39" s="247">
        <v>0.8923842592592592</v>
      </c>
      <c r="L39" s="251">
        <v>202.8</v>
      </c>
      <c r="M39" s="249"/>
      <c r="N39" s="249"/>
    </row>
    <row r="40" ht="14.25" customHeight="1">
      <c r="A40" s="233" t="s">
        <v>332</v>
      </c>
      <c r="B40" s="233" t="s">
        <v>384</v>
      </c>
      <c r="C40" s="235">
        <v>29.61</v>
      </c>
      <c r="D40" s="235">
        <v>227.01</v>
      </c>
      <c r="E40" s="250">
        <f t="shared" si="1"/>
        <v>197.4</v>
      </c>
      <c r="H40" s="244" t="s">
        <v>313</v>
      </c>
      <c r="I40" s="245">
        <v>236096.0</v>
      </c>
      <c r="J40" s="246">
        <v>45936.0</v>
      </c>
      <c r="K40" s="247">
        <v>0.7943865740740741</v>
      </c>
      <c r="L40" s="251">
        <v>200.2</v>
      </c>
      <c r="M40" s="249"/>
      <c r="N40" s="249"/>
    </row>
    <row r="41" ht="14.25" customHeight="1">
      <c r="A41" s="233" t="s">
        <v>385</v>
      </c>
      <c r="B41" s="233" t="s">
        <v>386</v>
      </c>
      <c r="C41" s="235">
        <v>22.67</v>
      </c>
      <c r="D41" s="235">
        <v>211.57</v>
      </c>
      <c r="E41" s="250">
        <f t="shared" si="1"/>
        <v>188.9</v>
      </c>
      <c r="H41" s="244" t="s">
        <v>313</v>
      </c>
      <c r="I41" s="245">
        <v>236145.0</v>
      </c>
      <c r="J41" s="246">
        <v>45936.0</v>
      </c>
      <c r="K41" s="247">
        <v>0.9012731481481482</v>
      </c>
      <c r="L41" s="251">
        <v>197.4</v>
      </c>
      <c r="M41" s="249"/>
      <c r="N41" s="249"/>
    </row>
    <row r="42" ht="14.25" customHeight="1">
      <c r="A42" s="233" t="s">
        <v>387</v>
      </c>
      <c r="B42" s="233" t="s">
        <v>388</v>
      </c>
      <c r="C42" s="235">
        <v>27.81</v>
      </c>
      <c r="D42" s="235">
        <v>213.21</v>
      </c>
      <c r="E42" s="250">
        <f t="shared" si="1"/>
        <v>185.4</v>
      </c>
      <c r="H42" s="244" t="s">
        <v>313</v>
      </c>
      <c r="I42" s="245">
        <v>236146.0</v>
      </c>
      <c r="J42" s="246">
        <v>45936.0</v>
      </c>
      <c r="K42" s="247">
        <v>0.8810069444444445</v>
      </c>
      <c r="L42" s="251">
        <v>188.9</v>
      </c>
      <c r="M42" s="249"/>
      <c r="N42" s="249"/>
    </row>
    <row r="43" ht="14.25" customHeight="1">
      <c r="A43" s="233" t="s">
        <v>389</v>
      </c>
      <c r="B43" s="233" t="s">
        <v>390</v>
      </c>
      <c r="C43" s="235">
        <v>27.57</v>
      </c>
      <c r="D43" s="235">
        <v>211.37</v>
      </c>
      <c r="E43" s="250">
        <f t="shared" si="1"/>
        <v>183.8</v>
      </c>
      <c r="H43" s="244" t="s">
        <v>313</v>
      </c>
      <c r="I43" s="245">
        <v>236087.0</v>
      </c>
      <c r="J43" s="246">
        <v>45936.0</v>
      </c>
      <c r="K43" s="247">
        <v>0.8019791666666667</v>
      </c>
      <c r="L43" s="251">
        <v>185.4</v>
      </c>
      <c r="M43" s="249"/>
      <c r="N43" s="249"/>
    </row>
    <row r="44" ht="14.25" customHeight="1">
      <c r="A44" s="233" t="s">
        <v>391</v>
      </c>
      <c r="B44" s="233" t="s">
        <v>392</v>
      </c>
      <c r="C44" s="235">
        <v>0.0</v>
      </c>
      <c r="D44" s="235">
        <v>181.5</v>
      </c>
      <c r="E44" s="250">
        <f t="shared" si="1"/>
        <v>181.5</v>
      </c>
      <c r="H44" s="244" t="s">
        <v>313</v>
      </c>
      <c r="I44" s="245">
        <v>236094.0</v>
      </c>
      <c r="J44" s="246">
        <v>45936.0</v>
      </c>
      <c r="K44" s="247">
        <v>0.8171759259259259</v>
      </c>
      <c r="L44" s="251">
        <v>183.8</v>
      </c>
      <c r="M44" s="249"/>
      <c r="N44" s="249"/>
    </row>
    <row r="45" ht="14.25" customHeight="1">
      <c r="A45" s="233" t="s">
        <v>393</v>
      </c>
      <c r="B45" s="233" t="s">
        <v>394</v>
      </c>
      <c r="C45" s="235">
        <v>21.17</v>
      </c>
      <c r="D45" s="235">
        <v>197.57</v>
      </c>
      <c r="E45" s="250">
        <f t="shared" si="1"/>
        <v>176.4</v>
      </c>
      <c r="H45" s="244" t="s">
        <v>313</v>
      </c>
      <c r="I45" s="245">
        <v>236095.0</v>
      </c>
      <c r="J45" s="246">
        <v>45936.0</v>
      </c>
      <c r="K45" s="247">
        <v>0.8075</v>
      </c>
      <c r="L45" s="251">
        <v>181.5</v>
      </c>
      <c r="M45" s="249"/>
      <c r="N45" s="249"/>
    </row>
    <row r="46" ht="14.25" customHeight="1">
      <c r="A46" s="233" t="s">
        <v>395</v>
      </c>
      <c r="B46" s="233" t="s">
        <v>396</v>
      </c>
      <c r="C46" s="235">
        <v>26.0</v>
      </c>
      <c r="D46" s="235">
        <v>199.3</v>
      </c>
      <c r="E46" s="250">
        <f t="shared" si="1"/>
        <v>173.3</v>
      </c>
      <c r="H46" s="244" t="s">
        <v>313</v>
      </c>
      <c r="I46" s="245">
        <v>236078.0</v>
      </c>
      <c r="J46" s="246">
        <v>45936.0</v>
      </c>
      <c r="K46" s="247">
        <v>0.7699074074074074</v>
      </c>
      <c r="L46" s="251">
        <v>176.4</v>
      </c>
      <c r="M46" s="249"/>
      <c r="N46" s="249"/>
    </row>
    <row r="47" ht="14.25" customHeight="1">
      <c r="A47" s="233" t="s">
        <v>397</v>
      </c>
      <c r="B47" s="233" t="s">
        <v>398</v>
      </c>
      <c r="C47" s="235">
        <v>45.0</v>
      </c>
      <c r="D47" s="235">
        <v>217.9</v>
      </c>
      <c r="E47" s="250">
        <f t="shared" si="1"/>
        <v>172.9</v>
      </c>
      <c r="H47" s="244" t="s">
        <v>313</v>
      </c>
      <c r="I47" s="245">
        <v>236114.0</v>
      </c>
      <c r="J47" s="246">
        <v>45936.0</v>
      </c>
      <c r="K47" s="247">
        <v>0.8396875</v>
      </c>
      <c r="L47" s="251">
        <v>173.3</v>
      </c>
      <c r="M47" s="249"/>
      <c r="N47" s="249"/>
    </row>
    <row r="48" ht="14.25" customHeight="1">
      <c r="A48" s="233" t="s">
        <v>399</v>
      </c>
      <c r="B48" s="233" t="s">
        <v>400</v>
      </c>
      <c r="C48" s="235">
        <v>20.63</v>
      </c>
      <c r="D48" s="235">
        <v>192.53</v>
      </c>
      <c r="E48" s="250">
        <f t="shared" si="1"/>
        <v>171.9</v>
      </c>
      <c r="H48" s="244" t="s">
        <v>313</v>
      </c>
      <c r="I48" s="245">
        <v>236127.0</v>
      </c>
      <c r="J48" s="246">
        <v>45936.0</v>
      </c>
      <c r="K48" s="247">
        <v>0.8817592592592592</v>
      </c>
      <c r="L48" s="251">
        <v>172.9</v>
      </c>
      <c r="M48" s="249"/>
      <c r="N48" s="249"/>
    </row>
    <row r="49" ht="14.25" customHeight="1">
      <c r="A49" s="233" t="s">
        <v>334</v>
      </c>
      <c r="B49" s="233" t="s">
        <v>401</v>
      </c>
      <c r="C49" s="235">
        <v>20.62</v>
      </c>
      <c r="D49" s="235">
        <v>192.42</v>
      </c>
      <c r="E49" s="250">
        <f t="shared" si="1"/>
        <v>171.8</v>
      </c>
      <c r="H49" s="244" t="s">
        <v>313</v>
      </c>
      <c r="I49" s="245">
        <v>236108.0</v>
      </c>
      <c r="J49" s="246">
        <v>45936.0</v>
      </c>
      <c r="K49" s="247">
        <v>0.8174537037037037</v>
      </c>
      <c r="L49" s="251">
        <v>171.9</v>
      </c>
      <c r="M49" s="249"/>
      <c r="N49" s="249"/>
    </row>
    <row r="50" ht="14.25" customHeight="1">
      <c r="A50" s="233" t="s">
        <v>326</v>
      </c>
      <c r="B50" s="233" t="s">
        <v>402</v>
      </c>
      <c r="C50" s="235">
        <v>40.0</v>
      </c>
      <c r="D50" s="235">
        <v>208.9</v>
      </c>
      <c r="E50" s="250">
        <f t="shared" si="1"/>
        <v>168.9</v>
      </c>
      <c r="H50" s="244" t="s">
        <v>313</v>
      </c>
      <c r="I50" s="245">
        <v>236149.0</v>
      </c>
      <c r="J50" s="246">
        <v>45936.0</v>
      </c>
      <c r="K50" s="247">
        <v>0.8922569444444445</v>
      </c>
      <c r="L50" s="251">
        <v>171.8</v>
      </c>
      <c r="M50" s="249"/>
      <c r="N50" s="249"/>
    </row>
    <row r="51" ht="14.25" customHeight="1">
      <c r="A51" s="233" t="s">
        <v>403</v>
      </c>
      <c r="B51" s="233" t="s">
        <v>404</v>
      </c>
      <c r="C51" s="235">
        <v>31.3</v>
      </c>
      <c r="D51" s="235">
        <v>187.8</v>
      </c>
      <c r="E51" s="250">
        <f t="shared" si="1"/>
        <v>156.5</v>
      </c>
      <c r="H51" s="244" t="s">
        <v>313</v>
      </c>
      <c r="I51" s="245">
        <v>236111.0</v>
      </c>
      <c r="J51" s="246">
        <v>45936.0</v>
      </c>
      <c r="K51" s="247">
        <v>0.8756018518518518</v>
      </c>
      <c r="L51" s="251">
        <v>168.9</v>
      </c>
      <c r="M51" s="249"/>
      <c r="N51" s="249"/>
    </row>
    <row r="52" ht="14.25" customHeight="1">
      <c r="A52" s="233" t="s">
        <v>405</v>
      </c>
      <c r="B52" s="233" t="s">
        <v>406</v>
      </c>
      <c r="C52" s="235">
        <v>18.72</v>
      </c>
      <c r="D52" s="235">
        <v>174.72</v>
      </c>
      <c r="E52" s="250">
        <f t="shared" si="1"/>
        <v>156</v>
      </c>
      <c r="H52" s="244" t="s">
        <v>313</v>
      </c>
      <c r="I52" s="245">
        <v>236187.0</v>
      </c>
      <c r="J52" s="246">
        <v>45936.0</v>
      </c>
      <c r="K52" s="247">
        <v>0.9379166666666666</v>
      </c>
      <c r="L52" s="251">
        <v>156.5</v>
      </c>
      <c r="M52" s="249"/>
      <c r="N52" s="249"/>
    </row>
    <row r="53" ht="14.25" customHeight="1">
      <c r="A53" s="233" t="s">
        <v>407</v>
      </c>
      <c r="B53" s="233" t="s">
        <v>408</v>
      </c>
      <c r="C53" s="235">
        <v>10.0</v>
      </c>
      <c r="D53" s="235">
        <v>166.0</v>
      </c>
      <c r="E53" s="250">
        <f t="shared" si="1"/>
        <v>156</v>
      </c>
      <c r="H53" s="244" t="s">
        <v>313</v>
      </c>
      <c r="I53" s="245">
        <v>236084.0</v>
      </c>
      <c r="J53" s="246">
        <v>45936.0</v>
      </c>
      <c r="K53" s="247">
        <v>0.7911805555555556</v>
      </c>
      <c r="L53" s="251">
        <v>156.0</v>
      </c>
      <c r="M53" s="249"/>
      <c r="N53" s="249"/>
    </row>
    <row r="54" ht="14.25" customHeight="1">
      <c r="A54" s="233" t="s">
        <v>409</v>
      </c>
      <c r="B54" s="233" t="s">
        <v>410</v>
      </c>
      <c r="C54" s="235">
        <v>30.98</v>
      </c>
      <c r="D54" s="235">
        <v>185.88</v>
      </c>
      <c r="E54" s="250">
        <f t="shared" si="1"/>
        <v>154.9</v>
      </c>
      <c r="H54" s="244" t="s">
        <v>313</v>
      </c>
      <c r="I54" s="245">
        <v>236125.0</v>
      </c>
      <c r="J54" s="246">
        <v>45936.0</v>
      </c>
      <c r="K54" s="247">
        <v>0.8813310185185185</v>
      </c>
      <c r="L54" s="251">
        <v>156.0</v>
      </c>
      <c r="M54" s="249"/>
      <c r="N54" s="249"/>
    </row>
    <row r="55" ht="14.25" customHeight="1">
      <c r="A55" s="233" t="s">
        <v>411</v>
      </c>
      <c r="B55" s="233" t="s">
        <v>412</v>
      </c>
      <c r="C55" s="235">
        <v>18.47</v>
      </c>
      <c r="D55" s="235">
        <v>172.37</v>
      </c>
      <c r="E55" s="250">
        <f t="shared" si="1"/>
        <v>153.9</v>
      </c>
      <c r="H55" s="244" t="s">
        <v>313</v>
      </c>
      <c r="I55" s="245">
        <v>236160.0</v>
      </c>
      <c r="J55" s="246">
        <v>45936.0</v>
      </c>
      <c r="K55" s="247">
        <v>0.9010648148148148</v>
      </c>
      <c r="L55" s="251">
        <v>154.9</v>
      </c>
      <c r="M55" s="249"/>
      <c r="N55" s="249"/>
    </row>
    <row r="56" ht="14.25" customHeight="1">
      <c r="A56" s="233" t="s">
        <v>413</v>
      </c>
      <c r="B56" s="233" t="s">
        <v>414</v>
      </c>
      <c r="C56" s="235">
        <v>18.44</v>
      </c>
      <c r="D56" s="235">
        <v>172.14</v>
      </c>
      <c r="E56" s="250">
        <f t="shared" si="1"/>
        <v>153.7</v>
      </c>
      <c r="H56" s="244" t="s">
        <v>313</v>
      </c>
      <c r="I56" s="245">
        <v>236107.0</v>
      </c>
      <c r="J56" s="246">
        <v>45936.0</v>
      </c>
      <c r="K56" s="247">
        <v>0.8544791666666667</v>
      </c>
      <c r="L56" s="251">
        <v>153.9</v>
      </c>
      <c r="M56" s="249"/>
      <c r="N56" s="249"/>
    </row>
    <row r="57" ht="14.25" customHeight="1">
      <c r="A57" s="233" t="s">
        <v>415</v>
      </c>
      <c r="B57" s="233" t="s">
        <v>416</v>
      </c>
      <c r="C57" s="235">
        <v>0.0</v>
      </c>
      <c r="D57" s="235">
        <v>151.5</v>
      </c>
      <c r="E57" s="250">
        <f t="shared" si="1"/>
        <v>151.5</v>
      </c>
      <c r="H57" s="244" t="s">
        <v>313</v>
      </c>
      <c r="I57" s="245">
        <v>236141.0</v>
      </c>
      <c r="J57" s="246">
        <v>45936.0</v>
      </c>
      <c r="K57" s="247">
        <v>0.8925</v>
      </c>
      <c r="L57" s="251">
        <v>153.7</v>
      </c>
      <c r="M57" s="249"/>
      <c r="N57" s="249"/>
    </row>
    <row r="58" ht="14.25" customHeight="1">
      <c r="A58" s="233" t="s">
        <v>417</v>
      </c>
      <c r="B58" s="233" t="s">
        <v>418</v>
      </c>
      <c r="C58" s="235">
        <v>0.0</v>
      </c>
      <c r="D58" s="235">
        <v>150.0</v>
      </c>
      <c r="E58" s="250">
        <f t="shared" si="1"/>
        <v>150</v>
      </c>
      <c r="H58" s="244" t="s">
        <v>313</v>
      </c>
      <c r="I58" s="245">
        <v>236080.0</v>
      </c>
      <c r="J58" s="246">
        <v>45936.0</v>
      </c>
      <c r="K58" s="247">
        <v>0.7909722222222222</v>
      </c>
      <c r="L58" s="251">
        <v>151.5</v>
      </c>
      <c r="M58" s="249"/>
      <c r="N58" s="249"/>
    </row>
    <row r="59" ht="14.25" customHeight="1">
      <c r="A59" s="233" t="s">
        <v>417</v>
      </c>
      <c r="B59" s="233" t="s">
        <v>419</v>
      </c>
      <c r="C59" s="235">
        <v>0.0</v>
      </c>
      <c r="D59" s="235">
        <v>150.0</v>
      </c>
      <c r="E59" s="250">
        <f t="shared" si="1"/>
        <v>150</v>
      </c>
      <c r="H59" s="244" t="s">
        <v>313</v>
      </c>
      <c r="I59" s="245">
        <v>236171.0</v>
      </c>
      <c r="J59" s="246">
        <v>45936.0</v>
      </c>
      <c r="K59" s="247">
        <v>0.9680208333333333</v>
      </c>
      <c r="L59" s="251">
        <v>150.0</v>
      </c>
      <c r="M59" s="249"/>
      <c r="N59" s="249"/>
    </row>
    <row r="60" ht="14.25" customHeight="1">
      <c r="A60" s="233" t="s">
        <v>420</v>
      </c>
      <c r="B60" s="233" t="s">
        <v>421</v>
      </c>
      <c r="C60" s="235">
        <v>15.0</v>
      </c>
      <c r="D60" s="235">
        <v>157.17</v>
      </c>
      <c r="E60" s="250">
        <f t="shared" si="1"/>
        <v>142.17</v>
      </c>
      <c r="H60" s="244" t="s">
        <v>313</v>
      </c>
      <c r="I60" s="245">
        <v>236171.0</v>
      </c>
      <c r="J60" s="246">
        <v>45936.0</v>
      </c>
      <c r="K60" s="247">
        <v>0.9680787037037037</v>
      </c>
      <c r="L60" s="251">
        <v>150.0</v>
      </c>
      <c r="M60" s="249"/>
      <c r="N60" s="249"/>
    </row>
    <row r="61" ht="14.25" customHeight="1">
      <c r="A61" s="233" t="s">
        <v>422</v>
      </c>
      <c r="B61" s="233" t="s">
        <v>423</v>
      </c>
      <c r="C61" s="235">
        <v>17.06</v>
      </c>
      <c r="D61" s="235">
        <v>159.23</v>
      </c>
      <c r="E61" s="250">
        <f t="shared" si="1"/>
        <v>142.17</v>
      </c>
      <c r="H61" s="244" t="s">
        <v>313</v>
      </c>
      <c r="I61" s="245">
        <v>236090.0</v>
      </c>
      <c r="J61" s="246">
        <v>45936.0</v>
      </c>
      <c r="K61" s="247">
        <v>0.8400578703703704</v>
      </c>
      <c r="L61" s="251">
        <v>142.18</v>
      </c>
      <c r="M61" s="249"/>
      <c r="N61" s="249"/>
    </row>
    <row r="62" ht="14.25" customHeight="1">
      <c r="A62" s="233" t="s">
        <v>424</v>
      </c>
      <c r="B62" s="233" t="s">
        <v>425</v>
      </c>
      <c r="C62" s="235">
        <v>0.0</v>
      </c>
      <c r="D62" s="235">
        <v>135.5</v>
      </c>
      <c r="E62" s="250">
        <f t="shared" si="1"/>
        <v>135.5</v>
      </c>
      <c r="H62" s="244" t="s">
        <v>313</v>
      </c>
      <c r="I62" s="245">
        <v>236090.0</v>
      </c>
      <c r="J62" s="246">
        <v>45936.0</v>
      </c>
      <c r="K62" s="247">
        <v>0.8400115740740741</v>
      </c>
      <c r="L62" s="251">
        <v>142.17</v>
      </c>
      <c r="M62" s="249"/>
      <c r="N62" s="249"/>
    </row>
    <row r="63" ht="14.25" customHeight="1">
      <c r="A63" s="233" t="s">
        <v>426</v>
      </c>
      <c r="B63" s="233" t="s">
        <v>427</v>
      </c>
      <c r="C63" s="235">
        <v>26.48</v>
      </c>
      <c r="D63" s="235">
        <v>158.88</v>
      </c>
      <c r="E63" s="250">
        <f t="shared" si="1"/>
        <v>132.4</v>
      </c>
      <c r="H63" s="244" t="s">
        <v>313</v>
      </c>
      <c r="I63" s="245">
        <v>236089.0</v>
      </c>
      <c r="J63" s="246">
        <v>45936.0</v>
      </c>
      <c r="K63" s="247">
        <v>0.7956365740740741</v>
      </c>
      <c r="L63" s="251">
        <v>135.5</v>
      </c>
      <c r="M63" s="249"/>
      <c r="N63" s="249"/>
    </row>
    <row r="64" ht="14.25" customHeight="1">
      <c r="A64" s="233" t="s">
        <v>428</v>
      </c>
      <c r="B64" s="233" t="s">
        <v>429</v>
      </c>
      <c r="C64" s="235">
        <v>0.0</v>
      </c>
      <c r="D64" s="235">
        <v>129.9</v>
      </c>
      <c r="E64" s="250">
        <f t="shared" si="1"/>
        <v>129.9</v>
      </c>
      <c r="H64" s="244" t="s">
        <v>313</v>
      </c>
      <c r="I64" s="245">
        <v>236077.0</v>
      </c>
      <c r="J64" s="246">
        <v>45936.0</v>
      </c>
      <c r="K64" s="247">
        <v>0.7622453703703703</v>
      </c>
      <c r="L64" s="251">
        <v>132.4</v>
      </c>
      <c r="M64" s="249"/>
      <c r="N64" s="249"/>
    </row>
    <row r="65" ht="14.25" customHeight="1">
      <c r="A65" s="233" t="s">
        <v>430</v>
      </c>
      <c r="B65" s="233" t="s">
        <v>431</v>
      </c>
      <c r="C65" s="235">
        <v>15.34</v>
      </c>
      <c r="D65" s="235">
        <v>143.14</v>
      </c>
      <c r="E65" s="250">
        <f t="shared" si="1"/>
        <v>127.8</v>
      </c>
      <c r="H65" s="244" t="s">
        <v>313</v>
      </c>
      <c r="I65" s="245">
        <v>236109.0</v>
      </c>
      <c r="J65" s="246">
        <v>45936.0</v>
      </c>
      <c r="K65" s="247">
        <v>0.8546180555555556</v>
      </c>
      <c r="L65" s="251">
        <v>129.9</v>
      </c>
      <c r="M65" s="249"/>
      <c r="N65" s="249"/>
    </row>
    <row r="66" ht="14.25" customHeight="1">
      <c r="A66" s="233" t="s">
        <v>415</v>
      </c>
      <c r="B66" s="233" t="s">
        <v>432</v>
      </c>
      <c r="C66" s="235">
        <v>0.0</v>
      </c>
      <c r="D66" s="235">
        <v>125.4</v>
      </c>
      <c r="E66" s="250">
        <f t="shared" si="1"/>
        <v>125.4</v>
      </c>
      <c r="H66" s="244" t="s">
        <v>313</v>
      </c>
      <c r="I66" s="245">
        <v>236105.0</v>
      </c>
      <c r="J66" s="246">
        <v>45936.0</v>
      </c>
      <c r="K66" s="247">
        <v>0.8173263888888889</v>
      </c>
      <c r="L66" s="251">
        <v>127.8</v>
      </c>
      <c r="M66" s="249"/>
      <c r="N66" s="249"/>
    </row>
    <row r="67" ht="14.25" customHeight="1">
      <c r="A67" s="233" t="s">
        <v>433</v>
      </c>
      <c r="B67" s="233" t="s">
        <v>434</v>
      </c>
      <c r="C67" s="235">
        <v>14.87</v>
      </c>
      <c r="D67" s="235">
        <v>138.77</v>
      </c>
      <c r="E67" s="250">
        <f t="shared" si="1"/>
        <v>123.9</v>
      </c>
      <c r="H67" s="244" t="s">
        <v>313</v>
      </c>
      <c r="I67" s="245">
        <v>236082.0</v>
      </c>
      <c r="J67" s="246">
        <v>45936.0</v>
      </c>
      <c r="K67" s="247">
        <v>0.7920601851851852</v>
      </c>
      <c r="L67" s="251">
        <v>125.4</v>
      </c>
      <c r="M67" s="249"/>
      <c r="N67" s="249"/>
    </row>
    <row r="68" ht="14.25" customHeight="1">
      <c r="A68" s="233" t="s">
        <v>435</v>
      </c>
      <c r="B68" s="233" t="s">
        <v>436</v>
      </c>
      <c r="C68" s="235">
        <v>0.0</v>
      </c>
      <c r="D68" s="235">
        <v>113.6</v>
      </c>
      <c r="E68" s="250">
        <f t="shared" si="1"/>
        <v>113.6</v>
      </c>
      <c r="H68" s="244" t="s">
        <v>313</v>
      </c>
      <c r="I68" s="245">
        <v>236123.0</v>
      </c>
      <c r="J68" s="246">
        <v>45936.0</v>
      </c>
      <c r="K68" s="247">
        <v>0.8819907407407407</v>
      </c>
      <c r="L68" s="251">
        <v>123.9</v>
      </c>
      <c r="M68" s="249"/>
      <c r="N68" s="249"/>
    </row>
    <row r="69" ht="14.25" customHeight="1">
      <c r="A69" s="233" t="s">
        <v>437</v>
      </c>
      <c r="B69" s="233" t="s">
        <v>438</v>
      </c>
      <c r="C69" s="235">
        <v>0.0</v>
      </c>
      <c r="D69" s="235">
        <v>113.6</v>
      </c>
      <c r="E69" s="250">
        <f t="shared" si="1"/>
        <v>113.6</v>
      </c>
      <c r="H69" s="244" t="s">
        <v>313</v>
      </c>
      <c r="I69" s="245">
        <v>236081.0</v>
      </c>
      <c r="J69" s="246">
        <v>45936.0</v>
      </c>
      <c r="K69" s="247">
        <v>0.7799305555555556</v>
      </c>
      <c r="L69" s="251">
        <v>113.6</v>
      </c>
      <c r="M69" s="249"/>
      <c r="N69" s="249"/>
    </row>
    <row r="70" ht="14.25" customHeight="1">
      <c r="A70" s="233" t="s">
        <v>344</v>
      </c>
      <c r="B70" s="233" t="s">
        <v>439</v>
      </c>
      <c r="C70" s="235">
        <v>0.0</v>
      </c>
      <c r="D70" s="235">
        <v>112.73</v>
      </c>
      <c r="E70" s="250">
        <f t="shared" si="1"/>
        <v>112.73</v>
      </c>
      <c r="H70" s="244" t="s">
        <v>313</v>
      </c>
      <c r="I70" s="245">
        <v>236169.0</v>
      </c>
      <c r="J70" s="246">
        <v>45936.0</v>
      </c>
      <c r="K70" s="247">
        <v>0.9522106481481482</v>
      </c>
      <c r="L70" s="251">
        <v>113.6</v>
      </c>
      <c r="M70" s="249"/>
      <c r="N70" s="249"/>
    </row>
    <row r="71" ht="14.25" customHeight="1">
      <c r="A71" s="233" t="s">
        <v>440</v>
      </c>
      <c r="B71" s="233" t="s">
        <v>441</v>
      </c>
      <c r="C71" s="235">
        <v>0.0</v>
      </c>
      <c r="D71" s="235">
        <v>100.0</v>
      </c>
      <c r="E71" s="250">
        <f t="shared" si="1"/>
        <v>100</v>
      </c>
      <c r="H71" s="244" t="s">
        <v>313</v>
      </c>
      <c r="I71" s="245">
        <v>236112.0</v>
      </c>
      <c r="J71" s="246">
        <v>45936.0</v>
      </c>
      <c r="K71" s="247">
        <v>0.8864583333333333</v>
      </c>
      <c r="L71" s="251">
        <v>112.73</v>
      </c>
      <c r="M71" s="249"/>
      <c r="N71" s="249"/>
    </row>
    <row r="72" ht="14.25" customHeight="1">
      <c r="A72" s="233" t="s">
        <v>442</v>
      </c>
      <c r="B72" s="233" t="s">
        <v>443</v>
      </c>
      <c r="C72" s="235">
        <v>0.0</v>
      </c>
      <c r="D72" s="235">
        <v>100.0</v>
      </c>
      <c r="E72" s="250">
        <f t="shared" si="1"/>
        <v>100</v>
      </c>
      <c r="H72" s="244" t="s">
        <v>313</v>
      </c>
      <c r="I72" s="245">
        <v>236122.0</v>
      </c>
      <c r="J72" s="246">
        <v>45936.0</v>
      </c>
      <c r="K72" s="247">
        <v>0.8990046296296297</v>
      </c>
      <c r="L72" s="251">
        <v>100.0</v>
      </c>
      <c r="M72" s="249"/>
      <c r="N72" s="249"/>
    </row>
    <row r="73" ht="14.25" customHeight="1">
      <c r="A73" s="233" t="s">
        <v>442</v>
      </c>
      <c r="B73" s="233" t="s">
        <v>444</v>
      </c>
      <c r="C73" s="235">
        <v>0.0</v>
      </c>
      <c r="D73" s="235">
        <v>100.0</v>
      </c>
      <c r="E73" s="250">
        <f t="shared" si="1"/>
        <v>100</v>
      </c>
      <c r="H73" s="244" t="s">
        <v>313</v>
      </c>
      <c r="I73" s="245">
        <v>236122.0</v>
      </c>
      <c r="J73" s="246">
        <v>45936.0</v>
      </c>
      <c r="K73" s="247">
        <v>0.8989699074074075</v>
      </c>
      <c r="L73" s="251">
        <v>100.0</v>
      </c>
      <c r="M73" s="249"/>
      <c r="N73" s="249"/>
    </row>
    <row r="74" ht="14.25" customHeight="1">
      <c r="A74" s="233" t="s">
        <v>445</v>
      </c>
      <c r="B74" s="233" t="s">
        <v>446</v>
      </c>
      <c r="C74" s="235">
        <v>0.0</v>
      </c>
      <c r="D74" s="235">
        <v>94.4</v>
      </c>
      <c r="E74" s="250">
        <f t="shared" si="1"/>
        <v>94.4</v>
      </c>
      <c r="H74" s="244" t="s">
        <v>313</v>
      </c>
      <c r="I74" s="245">
        <v>236122.0</v>
      </c>
      <c r="J74" s="246">
        <v>45936.0</v>
      </c>
      <c r="K74" s="247">
        <v>0.898900462962963</v>
      </c>
      <c r="L74" s="251">
        <v>100.0</v>
      </c>
      <c r="M74" s="249"/>
      <c r="N74" s="249"/>
    </row>
    <row r="75" ht="14.25" customHeight="1">
      <c r="A75" s="233" t="s">
        <v>447</v>
      </c>
      <c r="B75" s="233" t="s">
        <v>448</v>
      </c>
      <c r="C75" s="235">
        <v>18.5</v>
      </c>
      <c r="D75" s="235">
        <v>111.0</v>
      </c>
      <c r="E75" s="250">
        <f t="shared" si="1"/>
        <v>92.5</v>
      </c>
      <c r="H75" s="244" t="s">
        <v>313</v>
      </c>
      <c r="I75" s="245">
        <v>236099.0</v>
      </c>
      <c r="J75" s="246">
        <v>45936.0</v>
      </c>
      <c r="K75" s="247">
        <v>0.8011689814814815</v>
      </c>
      <c r="L75" s="251">
        <v>94.4</v>
      </c>
      <c r="M75" s="249"/>
      <c r="N75" s="249"/>
    </row>
    <row r="76" ht="14.25" customHeight="1">
      <c r="A76" s="233" t="s">
        <v>354</v>
      </c>
      <c r="B76" s="233" t="s">
        <v>449</v>
      </c>
      <c r="C76" s="235">
        <v>13.26</v>
      </c>
      <c r="D76" s="235">
        <v>101.66</v>
      </c>
      <c r="E76" s="250">
        <f t="shared" si="1"/>
        <v>88.4</v>
      </c>
      <c r="H76" s="244" t="s">
        <v>313</v>
      </c>
      <c r="I76" s="245">
        <v>236168.0</v>
      </c>
      <c r="J76" s="246">
        <v>45936.0</v>
      </c>
      <c r="K76" s="247">
        <v>0.8653472222222223</v>
      </c>
      <c r="L76" s="251">
        <v>92.5</v>
      </c>
      <c r="M76" s="249"/>
      <c r="N76" s="249"/>
    </row>
    <row r="77" ht="14.25" customHeight="1">
      <c r="A77" s="233" t="s">
        <v>342</v>
      </c>
      <c r="B77" s="233" t="s">
        <v>450</v>
      </c>
      <c r="C77" s="235">
        <v>0.0</v>
      </c>
      <c r="D77" s="235">
        <v>72.0</v>
      </c>
      <c r="E77" s="250">
        <f t="shared" si="1"/>
        <v>72</v>
      </c>
      <c r="H77" s="244" t="s">
        <v>313</v>
      </c>
      <c r="I77" s="245">
        <v>236113.0</v>
      </c>
      <c r="J77" s="246">
        <v>45936.0</v>
      </c>
      <c r="K77" s="247">
        <v>0.8652199074074074</v>
      </c>
      <c r="L77" s="251">
        <v>88.4</v>
      </c>
      <c r="M77" s="249"/>
      <c r="N77" s="249"/>
    </row>
    <row r="78" ht="14.25" customHeight="1">
      <c r="A78" s="233" t="s">
        <v>451</v>
      </c>
      <c r="B78" s="233" t="s">
        <v>452</v>
      </c>
      <c r="C78" s="235">
        <v>8.34</v>
      </c>
      <c r="D78" s="235">
        <v>77.84</v>
      </c>
      <c r="E78" s="250">
        <f t="shared" si="1"/>
        <v>69.5</v>
      </c>
      <c r="H78" s="244" t="s">
        <v>313</v>
      </c>
      <c r="I78" s="245">
        <v>236111.0</v>
      </c>
      <c r="J78" s="246">
        <v>45936.0</v>
      </c>
      <c r="K78" s="247">
        <v>0.8755555555555555</v>
      </c>
      <c r="L78" s="251">
        <v>72.0</v>
      </c>
      <c r="M78" s="249"/>
      <c r="N78" s="249"/>
    </row>
    <row r="79" ht="14.25" customHeight="1">
      <c r="A79" s="233" t="s">
        <v>453</v>
      </c>
      <c r="B79" s="233" t="s">
        <v>454</v>
      </c>
      <c r="C79" s="235">
        <v>0.0</v>
      </c>
      <c r="D79" s="235">
        <v>69.34</v>
      </c>
      <c r="E79" s="250">
        <f t="shared" si="1"/>
        <v>69.34</v>
      </c>
      <c r="H79" s="244" t="s">
        <v>313</v>
      </c>
      <c r="I79" s="245">
        <v>236102.0</v>
      </c>
      <c r="J79" s="246">
        <v>45936.0</v>
      </c>
      <c r="K79" s="247">
        <v>0.7697685185185185</v>
      </c>
      <c r="L79" s="251">
        <v>69.5</v>
      </c>
      <c r="M79" s="249"/>
      <c r="N79" s="249"/>
    </row>
    <row r="80" ht="14.25" customHeight="1">
      <c r="A80" s="233" t="s">
        <v>455</v>
      </c>
      <c r="B80" s="233" t="s">
        <v>456</v>
      </c>
      <c r="C80" s="235">
        <v>43.7</v>
      </c>
      <c r="D80" s="235">
        <v>100.0</v>
      </c>
      <c r="E80" s="250">
        <f t="shared" si="1"/>
        <v>56.3</v>
      </c>
      <c r="H80" s="244" t="s">
        <v>313</v>
      </c>
      <c r="I80" s="245">
        <v>236163.0</v>
      </c>
      <c r="J80" s="246">
        <v>45936.0</v>
      </c>
      <c r="K80" s="247">
        <v>0.9648148148148148</v>
      </c>
      <c r="L80" s="251">
        <v>69.34</v>
      </c>
      <c r="M80" s="249"/>
      <c r="N80" s="249"/>
    </row>
    <row r="81" ht="14.25" customHeight="1">
      <c r="A81" s="233" t="s">
        <v>457</v>
      </c>
      <c r="B81" s="233" t="s">
        <v>458</v>
      </c>
      <c r="C81" s="235">
        <v>0.0</v>
      </c>
      <c r="D81" s="235">
        <v>44.5</v>
      </c>
      <c r="E81" s="250">
        <f t="shared" si="1"/>
        <v>44.5</v>
      </c>
      <c r="H81" s="244" t="s">
        <v>313</v>
      </c>
      <c r="I81" s="245">
        <v>236122.0</v>
      </c>
      <c r="J81" s="246">
        <v>45936.0</v>
      </c>
      <c r="K81" s="247">
        <v>0.8990277777777778</v>
      </c>
      <c r="L81" s="251">
        <v>56.3</v>
      </c>
      <c r="M81" s="249"/>
      <c r="N81" s="249"/>
    </row>
    <row r="82" ht="14.25" customHeight="1">
      <c r="A82" s="233" t="s">
        <v>459</v>
      </c>
      <c r="B82" s="233" t="s">
        <v>427</v>
      </c>
      <c r="C82" s="235">
        <v>0.0</v>
      </c>
      <c r="D82" s="235">
        <v>33.0</v>
      </c>
      <c r="E82" s="250">
        <f t="shared" si="1"/>
        <v>33</v>
      </c>
      <c r="H82" s="244" t="s">
        <v>313</v>
      </c>
      <c r="I82" s="245">
        <v>236166.0</v>
      </c>
      <c r="J82" s="246">
        <v>45936.0</v>
      </c>
      <c r="K82" s="247">
        <v>0.8476157407407408</v>
      </c>
      <c r="L82" s="251">
        <v>44.5</v>
      </c>
      <c r="M82" s="249"/>
      <c r="N82" s="249"/>
    </row>
    <row r="83" ht="14.25" customHeight="1">
      <c r="A83" s="233" t="s">
        <v>460</v>
      </c>
      <c r="B83" s="233" t="s">
        <v>461</v>
      </c>
      <c r="C83" s="235">
        <v>0.0</v>
      </c>
      <c r="D83" s="235">
        <v>22.5</v>
      </c>
      <c r="E83" s="250">
        <f t="shared" si="1"/>
        <v>22.5</v>
      </c>
      <c r="H83" s="244" t="s">
        <v>313</v>
      </c>
      <c r="I83" s="245">
        <v>236075.0</v>
      </c>
      <c r="J83" s="246">
        <v>45936.0</v>
      </c>
      <c r="K83" s="247">
        <v>0.7058101851851852</v>
      </c>
      <c r="L83" s="251">
        <v>33.0</v>
      </c>
      <c r="M83" s="249"/>
      <c r="N83" s="249"/>
    </row>
    <row r="84" ht="14.25" customHeight="1">
      <c r="A84" s="233" t="s">
        <v>462</v>
      </c>
      <c r="B84" s="233" t="s">
        <v>438</v>
      </c>
      <c r="C84" s="235">
        <v>0.0</v>
      </c>
      <c r="D84" s="235">
        <v>20.5</v>
      </c>
      <c r="E84" s="250">
        <f t="shared" si="1"/>
        <v>20.5</v>
      </c>
      <c r="H84" s="244" t="s">
        <v>313</v>
      </c>
      <c r="I84" s="245">
        <v>236148.0</v>
      </c>
      <c r="J84" s="246">
        <v>45936.0</v>
      </c>
      <c r="K84" s="247">
        <v>0.8260648148148149</v>
      </c>
      <c r="L84" s="251">
        <v>22.5</v>
      </c>
      <c r="M84" s="249"/>
      <c r="N84" s="249"/>
    </row>
    <row r="85" ht="14.25" customHeight="1">
      <c r="A85" s="233" t="s">
        <v>463</v>
      </c>
      <c r="B85" s="233" t="s">
        <v>464</v>
      </c>
      <c r="C85" s="235">
        <v>2.15</v>
      </c>
      <c r="D85" s="235">
        <v>20.05</v>
      </c>
      <c r="E85" s="250">
        <f t="shared" si="1"/>
        <v>17.9</v>
      </c>
      <c r="H85" s="244" t="s">
        <v>313</v>
      </c>
      <c r="I85" s="245">
        <v>236173.0</v>
      </c>
      <c r="J85" s="246">
        <v>45936.0</v>
      </c>
      <c r="K85" s="247">
        <v>0.9522453703703704</v>
      </c>
      <c r="L85" s="251">
        <v>20.5</v>
      </c>
      <c r="M85" s="249"/>
      <c r="N85" s="249"/>
    </row>
    <row r="86" ht="14.25" customHeight="1">
      <c r="A86" s="233" t="s">
        <v>365</v>
      </c>
      <c r="B86" s="233" t="s">
        <v>465</v>
      </c>
      <c r="C86" s="235">
        <v>0.0</v>
      </c>
      <c r="D86" s="235">
        <v>15.0</v>
      </c>
      <c r="E86" s="250">
        <f t="shared" si="1"/>
        <v>15</v>
      </c>
      <c r="H86" s="244" t="s">
        <v>313</v>
      </c>
      <c r="I86" s="245">
        <v>236140.0</v>
      </c>
      <c r="J86" s="246">
        <v>45936.0</v>
      </c>
      <c r="K86" s="247">
        <v>0.8714351851851851</v>
      </c>
      <c r="L86" s="251">
        <v>17.9</v>
      </c>
      <c r="M86" s="249"/>
      <c r="N86" s="249"/>
    </row>
    <row r="87" ht="14.25" customHeight="1">
      <c r="A87" s="233" t="s">
        <v>466</v>
      </c>
      <c r="B87" s="233" t="s">
        <v>467</v>
      </c>
      <c r="C87" s="235">
        <v>0.0</v>
      </c>
      <c r="D87" s="235">
        <v>1.8</v>
      </c>
      <c r="E87" s="250">
        <f t="shared" si="1"/>
        <v>1.8</v>
      </c>
      <c r="H87" s="244" t="s">
        <v>313</v>
      </c>
      <c r="I87" s="245">
        <v>236179.0</v>
      </c>
      <c r="J87" s="246">
        <v>45936.0</v>
      </c>
      <c r="K87" s="247">
        <v>0.8845717592592592</v>
      </c>
      <c r="L87" s="251">
        <v>15.0</v>
      </c>
      <c r="M87" s="249"/>
      <c r="N87" s="249"/>
    </row>
    <row r="88" ht="14.25" customHeight="1">
      <c r="A88" s="233" t="s">
        <v>468</v>
      </c>
      <c r="B88" s="233" t="s">
        <v>469</v>
      </c>
      <c r="C88" s="235">
        <v>0.0</v>
      </c>
      <c r="D88" s="235">
        <v>1.2</v>
      </c>
      <c r="E88" s="250">
        <f t="shared" si="1"/>
        <v>1.2</v>
      </c>
      <c r="H88" s="244" t="s">
        <v>313</v>
      </c>
      <c r="I88" s="245">
        <v>236182.0</v>
      </c>
      <c r="J88" s="246">
        <v>45936.0</v>
      </c>
      <c r="K88" s="247">
        <v>0.9685532407407408</v>
      </c>
      <c r="L88" s="251">
        <v>1.8</v>
      </c>
      <c r="M88" s="249"/>
      <c r="N88" s="249"/>
    </row>
    <row r="89" ht="14.25" customHeight="1">
      <c r="A89" s="233" t="s">
        <v>470</v>
      </c>
      <c r="B89" s="233" t="s">
        <v>471</v>
      </c>
      <c r="C89" s="235">
        <v>0.0</v>
      </c>
      <c r="D89" s="235">
        <v>1.09</v>
      </c>
      <c r="E89" s="250">
        <f t="shared" si="1"/>
        <v>1.09</v>
      </c>
      <c r="H89" s="244" t="s">
        <v>313</v>
      </c>
      <c r="I89" s="245">
        <v>236183.0</v>
      </c>
      <c r="J89" s="246">
        <v>45936.0</v>
      </c>
      <c r="K89" s="247">
        <v>0.918900462962963</v>
      </c>
      <c r="L89" s="251">
        <v>1.2</v>
      </c>
      <c r="M89" s="249"/>
      <c r="N89" s="249"/>
    </row>
    <row r="90" ht="14.25" customHeight="1">
      <c r="A90" s="233" t="s">
        <v>472</v>
      </c>
      <c r="B90" s="233" t="s">
        <v>473</v>
      </c>
      <c r="C90" s="235">
        <v>0.0</v>
      </c>
      <c r="D90" s="235">
        <v>0.68</v>
      </c>
      <c r="E90" s="250">
        <f t="shared" si="1"/>
        <v>0.68</v>
      </c>
      <c r="H90" s="244" t="s">
        <v>313</v>
      </c>
      <c r="I90" s="245">
        <v>236072.0</v>
      </c>
      <c r="J90" s="246">
        <v>45936.0</v>
      </c>
      <c r="K90" s="247">
        <v>0.5967824074074074</v>
      </c>
      <c r="L90" s="251">
        <v>1.09</v>
      </c>
      <c r="M90" s="249"/>
      <c r="N90" s="249"/>
    </row>
    <row r="91" ht="14.25" customHeight="1">
      <c r="H91" s="244" t="s">
        <v>313</v>
      </c>
      <c r="I91" s="245">
        <v>236184.0</v>
      </c>
      <c r="J91" s="246">
        <v>45936.0</v>
      </c>
      <c r="K91" s="247">
        <v>0.9245601851851852</v>
      </c>
      <c r="L91" s="251">
        <v>0.68</v>
      </c>
      <c r="M91" s="249"/>
      <c r="N91" s="249"/>
    </row>
    <row r="92" ht="14.25" customHeight="1">
      <c r="H92" s="244" t="s">
        <v>313</v>
      </c>
      <c r="I92" s="245">
        <v>236171.0</v>
      </c>
      <c r="J92" s="246">
        <v>45936.0</v>
      </c>
      <c r="K92" s="247">
        <v>0.9571296296296297</v>
      </c>
      <c r="L92" s="251">
        <v>-694.01</v>
      </c>
      <c r="M92" s="249"/>
      <c r="N92" s="249"/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H$1:$L$1">
    <sortState ref="H1:L1">
      <sortCondition descending="1" ref="L1"/>
    </sortState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3.0"/>
    <col customWidth="1" min="9" max="11" width="8.71"/>
    <col customWidth="1" min="12" max="12" width="10.0"/>
    <col customWidth="1" min="13" max="26" width="8.71"/>
  </cols>
  <sheetData>
    <row r="1" ht="14.25" customHeight="1">
      <c r="A1" s="252" t="s">
        <v>308</v>
      </c>
      <c r="B1" s="252" t="s">
        <v>309</v>
      </c>
      <c r="C1" s="252" t="s">
        <v>114</v>
      </c>
      <c r="D1" s="242" t="s">
        <v>310</v>
      </c>
      <c r="E1" s="242" t="s">
        <v>174</v>
      </c>
      <c r="F1" s="242" t="s">
        <v>474</v>
      </c>
      <c r="G1" s="242"/>
      <c r="H1" s="253" t="s">
        <v>114</v>
      </c>
      <c r="I1" s="253" t="s">
        <v>305</v>
      </c>
      <c r="J1" s="253" t="s">
        <v>306</v>
      </c>
      <c r="K1" s="253" t="s">
        <v>9</v>
      </c>
      <c r="L1" s="253" t="s">
        <v>307</v>
      </c>
    </row>
    <row r="2" ht="14.25" customHeight="1">
      <c r="A2" s="254" t="s">
        <v>313</v>
      </c>
      <c r="B2" s="255">
        <v>236665.0</v>
      </c>
      <c r="C2" s="256">
        <v>45940.0</v>
      </c>
      <c r="D2" s="257">
        <v>0.9964930555555556</v>
      </c>
      <c r="E2" s="258">
        <v>195.7</v>
      </c>
      <c r="F2" s="259">
        <v>4.3</v>
      </c>
      <c r="G2" s="249"/>
      <c r="H2" s="260" t="s">
        <v>475</v>
      </c>
      <c r="I2" s="260" t="s">
        <v>476</v>
      </c>
      <c r="J2" s="261">
        <f>74.3</f>
        <v>74.3</v>
      </c>
      <c r="K2" s="261">
        <v>220.0</v>
      </c>
      <c r="L2" s="261">
        <f t="shared" ref="L2:L117" si="1">K2-J2</f>
        <v>145.7</v>
      </c>
    </row>
    <row r="3" ht="14.25" customHeight="1">
      <c r="A3" s="262" t="s">
        <v>313</v>
      </c>
      <c r="B3" s="263">
        <v>236593.0</v>
      </c>
      <c r="C3" s="264">
        <v>45940.0</v>
      </c>
      <c r="D3" s="247">
        <v>0.924224537037037</v>
      </c>
      <c r="E3" s="265">
        <v>48.3</v>
      </c>
      <c r="F3" s="249"/>
      <c r="G3" s="249"/>
      <c r="H3" s="253" t="s">
        <v>477</v>
      </c>
      <c r="I3" s="253" t="s">
        <v>478</v>
      </c>
      <c r="J3" s="266">
        <v>36.7</v>
      </c>
      <c r="K3" s="266">
        <v>85.0</v>
      </c>
      <c r="L3" s="267">
        <f t="shared" si="1"/>
        <v>48.3</v>
      </c>
    </row>
    <row r="4" ht="14.25" customHeight="1">
      <c r="A4" s="262" t="s">
        <v>313</v>
      </c>
      <c r="B4" s="263">
        <v>236579.0</v>
      </c>
      <c r="C4" s="264">
        <v>45940.0</v>
      </c>
      <c r="D4" s="247">
        <v>0.9756134259259259</v>
      </c>
      <c r="E4" s="265">
        <v>2076.64</v>
      </c>
      <c r="F4" s="249"/>
      <c r="G4" s="249"/>
      <c r="H4" s="253" t="s">
        <v>479</v>
      </c>
      <c r="I4" s="253" t="s">
        <v>480</v>
      </c>
      <c r="J4" s="266">
        <v>50.0</v>
      </c>
      <c r="K4" s="266">
        <v>50.01</v>
      </c>
      <c r="L4" s="268">
        <f t="shared" si="1"/>
        <v>0.01</v>
      </c>
    </row>
    <row r="5" ht="14.25" customHeight="1">
      <c r="A5" s="262" t="s">
        <v>313</v>
      </c>
      <c r="B5" s="263">
        <v>236621.0</v>
      </c>
      <c r="C5" s="264">
        <v>45940.0</v>
      </c>
      <c r="D5" s="247">
        <v>0.9399537037037037</v>
      </c>
      <c r="E5" s="265">
        <v>1742.74</v>
      </c>
      <c r="F5" s="249"/>
      <c r="G5" s="249"/>
      <c r="H5" s="253" t="s">
        <v>481</v>
      </c>
      <c r="I5" s="253" t="s">
        <v>482</v>
      </c>
      <c r="J5" s="266">
        <v>0.0</v>
      </c>
      <c r="K5" s="266">
        <v>2076.64</v>
      </c>
      <c r="L5" s="267">
        <f t="shared" si="1"/>
        <v>2076.64</v>
      </c>
    </row>
    <row r="6" ht="14.25" customHeight="1">
      <c r="A6" s="262" t="s">
        <v>313</v>
      </c>
      <c r="B6" s="263">
        <v>236637.0</v>
      </c>
      <c r="C6" s="264">
        <v>45940.0</v>
      </c>
      <c r="D6" s="247">
        <v>0.9921412037037037</v>
      </c>
      <c r="E6" s="265">
        <v>1238.74</v>
      </c>
      <c r="F6" s="249"/>
      <c r="G6" s="249"/>
      <c r="H6" s="253" t="s">
        <v>483</v>
      </c>
      <c r="I6" s="253" t="s">
        <v>484</v>
      </c>
      <c r="J6" s="266">
        <v>58.0</v>
      </c>
      <c r="K6" s="266">
        <v>1800.74</v>
      </c>
      <c r="L6" s="267">
        <f t="shared" si="1"/>
        <v>1742.74</v>
      </c>
    </row>
    <row r="7" ht="14.25" customHeight="1">
      <c r="A7" s="262" t="s">
        <v>313</v>
      </c>
      <c r="B7" s="263">
        <v>236521.0</v>
      </c>
      <c r="C7" s="264">
        <v>45940.0</v>
      </c>
      <c r="D7" s="247">
        <v>0.7951041666666666</v>
      </c>
      <c r="E7" s="265">
        <v>1003.73</v>
      </c>
      <c r="F7" s="249"/>
      <c r="G7" s="249"/>
      <c r="H7" s="253" t="s">
        <v>485</v>
      </c>
      <c r="I7" s="253" t="s">
        <v>486</v>
      </c>
      <c r="J7" s="266">
        <v>0.0</v>
      </c>
      <c r="K7" s="266">
        <v>1238.74</v>
      </c>
      <c r="L7" s="267">
        <f t="shared" si="1"/>
        <v>1238.74</v>
      </c>
    </row>
    <row r="8" ht="14.25" customHeight="1">
      <c r="A8" s="262" t="s">
        <v>313</v>
      </c>
      <c r="B8" s="263">
        <v>236650.0</v>
      </c>
      <c r="C8" s="264">
        <v>45940.0</v>
      </c>
      <c r="D8" s="247">
        <v>0.9626157407407407</v>
      </c>
      <c r="E8" s="265">
        <v>667.91</v>
      </c>
      <c r="F8" s="249"/>
      <c r="G8" s="249"/>
      <c r="H8" s="253" t="s">
        <v>487</v>
      </c>
      <c r="I8" s="253" t="s">
        <v>488</v>
      </c>
      <c r="J8" s="266">
        <v>0.0</v>
      </c>
      <c r="K8" s="266">
        <v>1003.73</v>
      </c>
      <c r="L8" s="267">
        <f t="shared" si="1"/>
        <v>1003.73</v>
      </c>
    </row>
    <row r="9" ht="14.25" customHeight="1">
      <c r="A9" s="262" t="s">
        <v>313</v>
      </c>
      <c r="B9" s="263">
        <v>236580.0</v>
      </c>
      <c r="C9" s="264">
        <v>45940.0</v>
      </c>
      <c r="D9" s="247">
        <v>0.8892592592592593</v>
      </c>
      <c r="E9" s="265">
        <v>613.1</v>
      </c>
      <c r="F9" s="249"/>
      <c r="G9" s="249"/>
      <c r="H9" s="253" t="s">
        <v>489</v>
      </c>
      <c r="I9" s="253" t="s">
        <v>490</v>
      </c>
      <c r="J9" s="266">
        <v>0.0</v>
      </c>
      <c r="K9" s="266">
        <v>667.91</v>
      </c>
      <c r="L9" s="267">
        <f t="shared" si="1"/>
        <v>667.91</v>
      </c>
      <c r="M9" s="209"/>
    </row>
    <row r="10" ht="14.25" customHeight="1">
      <c r="A10" s="262" t="s">
        <v>313</v>
      </c>
      <c r="B10" s="263">
        <v>236571.0</v>
      </c>
      <c r="C10" s="264">
        <v>45940.0</v>
      </c>
      <c r="D10" s="247">
        <v>0.8584375</v>
      </c>
      <c r="E10" s="265">
        <v>488.9</v>
      </c>
      <c r="F10" s="249"/>
      <c r="G10" s="249"/>
      <c r="H10" s="253" t="s">
        <v>491</v>
      </c>
      <c r="I10" s="253" t="s">
        <v>492</v>
      </c>
      <c r="J10" s="266">
        <v>122.62</v>
      </c>
      <c r="K10" s="266">
        <v>735.72</v>
      </c>
      <c r="L10" s="267">
        <f t="shared" si="1"/>
        <v>613.1</v>
      </c>
    </row>
    <row r="11" ht="14.25" customHeight="1">
      <c r="A11" s="262" t="s">
        <v>313</v>
      </c>
      <c r="B11" s="263">
        <v>236601.0</v>
      </c>
      <c r="C11" s="264">
        <v>45940.0</v>
      </c>
      <c r="D11" s="247">
        <v>0.9273148148148148</v>
      </c>
      <c r="E11" s="265">
        <v>480.4</v>
      </c>
      <c r="F11" s="249"/>
      <c r="G11" s="249"/>
      <c r="H11" s="253" t="s">
        <v>493</v>
      </c>
      <c r="I11" s="253" t="s">
        <v>494</v>
      </c>
      <c r="J11" s="266">
        <v>73.34</v>
      </c>
      <c r="K11" s="266">
        <v>562.24</v>
      </c>
      <c r="L11" s="267">
        <f t="shared" si="1"/>
        <v>488.9</v>
      </c>
    </row>
    <row r="12" ht="14.25" customHeight="1">
      <c r="A12" s="262" t="s">
        <v>313</v>
      </c>
      <c r="B12" s="263">
        <v>236527.0</v>
      </c>
      <c r="C12" s="264">
        <v>45940.0</v>
      </c>
      <c r="D12" s="247">
        <v>0.7952430555555555</v>
      </c>
      <c r="E12" s="265">
        <v>468.0</v>
      </c>
      <c r="F12" s="249"/>
      <c r="G12" s="249"/>
      <c r="H12" s="253" t="s">
        <v>495</v>
      </c>
      <c r="I12" s="253" t="s">
        <v>496</v>
      </c>
      <c r="J12" s="266">
        <v>72.06</v>
      </c>
      <c r="K12" s="266">
        <v>552.46</v>
      </c>
      <c r="L12" s="267">
        <f t="shared" si="1"/>
        <v>480.4</v>
      </c>
    </row>
    <row r="13" ht="14.25" customHeight="1">
      <c r="A13" s="262" t="s">
        <v>313</v>
      </c>
      <c r="B13" s="263">
        <v>236605.0</v>
      </c>
      <c r="C13" s="264">
        <v>45940.0</v>
      </c>
      <c r="D13" s="247">
        <v>0.9235763888888889</v>
      </c>
      <c r="E13" s="265">
        <v>451.4</v>
      </c>
      <c r="F13" s="249"/>
      <c r="G13" s="249"/>
      <c r="H13" s="253" t="s">
        <v>497</v>
      </c>
      <c r="I13" s="253" t="s">
        <v>498</v>
      </c>
      <c r="J13" s="266">
        <v>0.0</v>
      </c>
      <c r="K13" s="266">
        <v>468.0</v>
      </c>
      <c r="L13" s="267">
        <f t="shared" si="1"/>
        <v>468</v>
      </c>
    </row>
    <row r="14" ht="14.25" customHeight="1">
      <c r="A14" s="262" t="s">
        <v>313</v>
      </c>
      <c r="B14" s="263">
        <v>236606.0</v>
      </c>
      <c r="C14" s="264">
        <v>45940.0</v>
      </c>
      <c r="D14" s="247">
        <v>0.9539583333333334</v>
      </c>
      <c r="E14" s="265">
        <v>438.1</v>
      </c>
      <c r="F14" s="249"/>
      <c r="G14" s="249"/>
      <c r="H14" s="253" t="s">
        <v>499</v>
      </c>
      <c r="I14" s="253" t="s">
        <v>500</v>
      </c>
      <c r="J14" s="266">
        <v>54.17</v>
      </c>
      <c r="K14" s="266">
        <v>505.57</v>
      </c>
      <c r="L14" s="267">
        <f t="shared" si="1"/>
        <v>451.4</v>
      </c>
    </row>
    <row r="15" ht="14.25" customHeight="1">
      <c r="A15" s="262" t="s">
        <v>313</v>
      </c>
      <c r="B15" s="263">
        <v>236541.0</v>
      </c>
      <c r="C15" s="264">
        <v>45940.0</v>
      </c>
      <c r="D15" s="247">
        <v>0.8211111111111111</v>
      </c>
      <c r="E15" s="265">
        <v>426.38</v>
      </c>
      <c r="F15" s="249"/>
      <c r="G15" s="249"/>
      <c r="H15" s="253" t="s">
        <v>501</v>
      </c>
      <c r="I15" s="253" t="s">
        <v>502</v>
      </c>
      <c r="J15" s="266">
        <v>61.9</v>
      </c>
      <c r="K15" s="266">
        <v>500.0</v>
      </c>
      <c r="L15" s="267">
        <f t="shared" si="1"/>
        <v>438.1</v>
      </c>
    </row>
    <row r="16" ht="14.25" customHeight="1">
      <c r="A16" s="262" t="s">
        <v>313</v>
      </c>
      <c r="B16" s="263">
        <v>236664.0</v>
      </c>
      <c r="C16" s="264">
        <v>45940.0</v>
      </c>
      <c r="D16" s="247">
        <v>0.9484490740740741</v>
      </c>
      <c r="E16" s="265">
        <v>425.7</v>
      </c>
      <c r="F16" s="249"/>
      <c r="G16" s="249"/>
      <c r="H16" s="253" t="s">
        <v>503</v>
      </c>
      <c r="I16" s="253" t="s">
        <v>504</v>
      </c>
      <c r="J16" s="266">
        <v>0.0</v>
      </c>
      <c r="K16" s="266">
        <v>426.38</v>
      </c>
      <c r="L16" s="267">
        <f t="shared" si="1"/>
        <v>426.38</v>
      </c>
    </row>
    <row r="17" ht="14.25" customHeight="1">
      <c r="A17" s="262" t="s">
        <v>313</v>
      </c>
      <c r="B17" s="263">
        <v>236620.0</v>
      </c>
      <c r="C17" s="264">
        <v>45940.0</v>
      </c>
      <c r="D17" s="247">
        <v>0.965300925925926</v>
      </c>
      <c r="E17" s="265">
        <v>425.0</v>
      </c>
      <c r="F17" s="249"/>
      <c r="G17" s="249"/>
      <c r="H17" s="253" t="s">
        <v>505</v>
      </c>
      <c r="I17" s="253" t="s">
        <v>506</v>
      </c>
      <c r="J17" s="266">
        <v>63.86</v>
      </c>
      <c r="K17" s="266">
        <v>489.56</v>
      </c>
      <c r="L17" s="267">
        <f t="shared" si="1"/>
        <v>425.7</v>
      </c>
    </row>
    <row r="18" ht="14.25" customHeight="1">
      <c r="A18" s="262" t="s">
        <v>313</v>
      </c>
      <c r="B18" s="263">
        <v>236652.0</v>
      </c>
      <c r="C18" s="264">
        <v>45940.0</v>
      </c>
      <c r="D18" s="247">
        <v>0.9428009259259259</v>
      </c>
      <c r="E18" s="265">
        <v>409.16</v>
      </c>
      <c r="F18" s="249"/>
      <c r="G18" s="249"/>
      <c r="H18" s="253" t="s">
        <v>507</v>
      </c>
      <c r="I18" s="253" t="s">
        <v>508</v>
      </c>
      <c r="J18" s="266">
        <v>0.0</v>
      </c>
      <c r="K18" s="266">
        <v>425.0</v>
      </c>
      <c r="L18" s="267">
        <f t="shared" si="1"/>
        <v>425</v>
      </c>
    </row>
    <row r="19" ht="14.25" customHeight="1">
      <c r="A19" s="262" t="s">
        <v>313</v>
      </c>
      <c r="B19" s="263">
        <v>236677.0</v>
      </c>
      <c r="C19" s="264">
        <v>45940.0</v>
      </c>
      <c r="D19" s="247">
        <v>0.9666319444444444</v>
      </c>
      <c r="E19" s="265">
        <v>399.4</v>
      </c>
      <c r="F19" s="249"/>
      <c r="G19" s="249"/>
      <c r="H19" s="253" t="s">
        <v>509</v>
      </c>
      <c r="I19" s="253" t="s">
        <v>510</v>
      </c>
      <c r="J19" s="266">
        <v>0.0</v>
      </c>
      <c r="K19" s="266">
        <v>409.16</v>
      </c>
      <c r="L19" s="267">
        <f t="shared" si="1"/>
        <v>409.16</v>
      </c>
    </row>
    <row r="20" ht="14.25" customHeight="1">
      <c r="A20" s="262" t="s">
        <v>313</v>
      </c>
      <c r="B20" s="263">
        <v>236553.0</v>
      </c>
      <c r="C20" s="264">
        <v>45940.0</v>
      </c>
      <c r="D20" s="247">
        <v>0.8474189814814815</v>
      </c>
      <c r="E20" s="265">
        <v>398.7</v>
      </c>
      <c r="F20" s="249"/>
      <c r="G20" s="249"/>
      <c r="H20" s="253" t="s">
        <v>511</v>
      </c>
      <c r="I20" s="253" t="s">
        <v>512</v>
      </c>
      <c r="J20" s="266">
        <v>47.93</v>
      </c>
      <c r="K20" s="266">
        <v>447.33</v>
      </c>
      <c r="L20" s="267">
        <f t="shared" si="1"/>
        <v>399.4</v>
      </c>
    </row>
    <row r="21" ht="14.25" customHeight="1">
      <c r="A21" s="262" t="s">
        <v>313</v>
      </c>
      <c r="B21" s="263">
        <v>236642.0</v>
      </c>
      <c r="C21" s="264">
        <v>45940.0</v>
      </c>
      <c r="D21" s="247">
        <v>0.963587962962963</v>
      </c>
      <c r="E21" s="265">
        <v>396.3</v>
      </c>
      <c r="F21" s="249"/>
      <c r="G21" s="249"/>
      <c r="H21" s="253" t="s">
        <v>513</v>
      </c>
      <c r="I21" s="253" t="s">
        <v>514</v>
      </c>
      <c r="J21" s="266">
        <v>31.3</v>
      </c>
      <c r="K21" s="266">
        <v>430.0</v>
      </c>
      <c r="L21" s="267">
        <f t="shared" si="1"/>
        <v>398.7</v>
      </c>
    </row>
    <row r="22" ht="14.25" customHeight="1">
      <c r="A22" s="262" t="s">
        <v>313</v>
      </c>
      <c r="B22" s="263">
        <v>236569.0</v>
      </c>
      <c r="C22" s="264">
        <v>45940.0</v>
      </c>
      <c r="D22" s="247">
        <v>0.8711921296296297</v>
      </c>
      <c r="E22" s="265">
        <v>371.4</v>
      </c>
      <c r="F22" s="249"/>
      <c r="G22" s="249"/>
      <c r="H22" s="253" t="s">
        <v>515</v>
      </c>
      <c r="I22" s="253" t="s">
        <v>516</v>
      </c>
      <c r="J22" s="266">
        <v>20.0</v>
      </c>
      <c r="K22" s="266">
        <v>416.3</v>
      </c>
      <c r="L22" s="267">
        <f t="shared" si="1"/>
        <v>396.3</v>
      </c>
    </row>
    <row r="23" ht="14.25" customHeight="1">
      <c r="A23" s="262" t="s">
        <v>313</v>
      </c>
      <c r="B23" s="263">
        <v>236603.0</v>
      </c>
      <c r="C23" s="264">
        <v>45940.0</v>
      </c>
      <c r="D23" s="247">
        <v>0.9267361111111111</v>
      </c>
      <c r="E23" s="265">
        <v>366.7</v>
      </c>
      <c r="F23" s="249"/>
      <c r="G23" s="249"/>
      <c r="H23" s="253" t="s">
        <v>517</v>
      </c>
      <c r="I23" s="253" t="s">
        <v>518</v>
      </c>
      <c r="J23" s="266">
        <v>44.57</v>
      </c>
      <c r="K23" s="266">
        <v>415.97</v>
      </c>
      <c r="L23" s="267">
        <f t="shared" si="1"/>
        <v>371.4</v>
      </c>
    </row>
    <row r="24" ht="14.25" customHeight="1">
      <c r="A24" s="262" t="s">
        <v>313</v>
      </c>
      <c r="B24" s="263">
        <v>236620.0</v>
      </c>
      <c r="C24" s="264">
        <v>45940.0</v>
      </c>
      <c r="D24" s="247">
        <v>0.9653125</v>
      </c>
      <c r="E24" s="265">
        <v>361.1</v>
      </c>
      <c r="F24" s="249"/>
      <c r="G24" s="249"/>
      <c r="H24" s="253" t="s">
        <v>519</v>
      </c>
      <c r="I24" s="253" t="s">
        <v>520</v>
      </c>
      <c r="J24" s="266">
        <v>44.0</v>
      </c>
      <c r="K24" s="266">
        <v>410.7</v>
      </c>
      <c r="L24" s="267">
        <f t="shared" si="1"/>
        <v>366.7</v>
      </c>
    </row>
    <row r="25" ht="14.25" customHeight="1">
      <c r="A25" s="262" t="s">
        <v>313</v>
      </c>
      <c r="B25" s="263">
        <v>236567.0</v>
      </c>
      <c r="C25" s="264">
        <v>45940.0</v>
      </c>
      <c r="D25" s="247">
        <v>0.8705787037037037</v>
      </c>
      <c r="E25" s="265">
        <v>331.65</v>
      </c>
      <c r="F25" s="249"/>
      <c r="G25" s="249"/>
      <c r="H25" s="253" t="s">
        <v>521</v>
      </c>
      <c r="I25" s="253" t="s">
        <v>522</v>
      </c>
      <c r="J25" s="266">
        <v>63.9</v>
      </c>
      <c r="K25" s="266">
        <v>425.0</v>
      </c>
      <c r="L25" s="267">
        <f t="shared" si="1"/>
        <v>361.1</v>
      </c>
    </row>
    <row r="26" ht="14.25" customHeight="1">
      <c r="A26" s="262" t="s">
        <v>313</v>
      </c>
      <c r="B26" s="263">
        <v>236578.0</v>
      </c>
      <c r="C26" s="264">
        <v>45940.0</v>
      </c>
      <c r="D26" s="247">
        <v>0.8700578703703704</v>
      </c>
      <c r="E26" s="265">
        <v>328.4</v>
      </c>
      <c r="F26" s="249"/>
      <c r="G26" s="249"/>
      <c r="H26" s="253" t="s">
        <v>523</v>
      </c>
      <c r="I26" s="253" t="s">
        <v>524</v>
      </c>
      <c r="J26" s="266">
        <v>0.0</v>
      </c>
      <c r="K26" s="266">
        <v>331.65</v>
      </c>
      <c r="L26" s="267">
        <f t="shared" si="1"/>
        <v>331.65</v>
      </c>
    </row>
    <row r="27" ht="14.25" customHeight="1">
      <c r="A27" s="262" t="s">
        <v>313</v>
      </c>
      <c r="B27" s="263">
        <v>236572.0</v>
      </c>
      <c r="C27" s="264">
        <v>45940.0</v>
      </c>
      <c r="D27" s="247">
        <v>0.9069675925925926</v>
      </c>
      <c r="E27" s="265">
        <v>324.3</v>
      </c>
      <c r="F27" s="249"/>
      <c r="G27" s="249"/>
      <c r="H27" s="253" t="s">
        <v>525</v>
      </c>
      <c r="I27" s="253" t="s">
        <v>526</v>
      </c>
      <c r="J27" s="266">
        <v>65.68</v>
      </c>
      <c r="K27" s="266">
        <v>394.08</v>
      </c>
      <c r="L27" s="267">
        <f t="shared" si="1"/>
        <v>328.4</v>
      </c>
    </row>
    <row r="28" ht="14.25" customHeight="1">
      <c r="A28" s="262" t="s">
        <v>313</v>
      </c>
      <c r="B28" s="263">
        <v>236608.0</v>
      </c>
      <c r="C28" s="264">
        <v>45940.0</v>
      </c>
      <c r="D28" s="247">
        <v>0.9059027777777777</v>
      </c>
      <c r="E28" s="265">
        <v>309.8</v>
      </c>
      <c r="F28" s="249"/>
      <c r="G28" s="249"/>
      <c r="H28" s="253" t="s">
        <v>527</v>
      </c>
      <c r="I28" s="253" t="s">
        <v>528</v>
      </c>
      <c r="J28" s="266">
        <v>38.92</v>
      </c>
      <c r="K28" s="266">
        <v>363.22</v>
      </c>
      <c r="L28" s="267">
        <f t="shared" si="1"/>
        <v>324.3</v>
      </c>
    </row>
    <row r="29" ht="14.25" customHeight="1">
      <c r="A29" s="262" t="s">
        <v>313</v>
      </c>
      <c r="B29" s="263">
        <v>236536.0</v>
      </c>
      <c r="C29" s="264">
        <v>45940.0</v>
      </c>
      <c r="D29" s="247">
        <v>0.8312847222222223</v>
      </c>
      <c r="E29" s="265">
        <v>307.13</v>
      </c>
      <c r="F29" s="249"/>
      <c r="G29" s="249"/>
      <c r="H29" s="253" t="s">
        <v>529</v>
      </c>
      <c r="I29" s="253" t="s">
        <v>530</v>
      </c>
      <c r="J29" s="266">
        <v>30.0</v>
      </c>
      <c r="K29" s="266">
        <v>339.8</v>
      </c>
      <c r="L29" s="267">
        <f t="shared" si="1"/>
        <v>309.8</v>
      </c>
    </row>
    <row r="30" ht="14.25" customHeight="1">
      <c r="A30" s="262" t="s">
        <v>313</v>
      </c>
      <c r="B30" s="263">
        <v>236680.0</v>
      </c>
      <c r="C30" s="264">
        <v>45940.0</v>
      </c>
      <c r="D30" s="247">
        <v>0.9760300925925925</v>
      </c>
      <c r="E30" s="265">
        <v>302.4</v>
      </c>
      <c r="F30" s="249"/>
      <c r="G30" s="249"/>
      <c r="H30" s="253" t="s">
        <v>531</v>
      </c>
      <c r="I30" s="253" t="s">
        <v>532</v>
      </c>
      <c r="J30" s="266">
        <v>0.0</v>
      </c>
      <c r="K30" s="266">
        <v>307.13</v>
      </c>
      <c r="L30" s="267">
        <f t="shared" si="1"/>
        <v>307.13</v>
      </c>
    </row>
    <row r="31" ht="14.25" customHeight="1">
      <c r="A31" s="262" t="s">
        <v>313</v>
      </c>
      <c r="B31" s="263">
        <v>236559.0</v>
      </c>
      <c r="C31" s="264">
        <v>45940.0</v>
      </c>
      <c r="D31" s="247">
        <v>0.8670486111111111</v>
      </c>
      <c r="E31" s="265">
        <v>292.9</v>
      </c>
      <c r="F31" s="249"/>
      <c r="G31" s="249"/>
      <c r="H31" s="253" t="s">
        <v>481</v>
      </c>
      <c r="I31" s="253" t="s">
        <v>533</v>
      </c>
      <c r="J31" s="266">
        <v>36.29</v>
      </c>
      <c r="K31" s="266">
        <v>338.69</v>
      </c>
      <c r="L31" s="267">
        <f t="shared" si="1"/>
        <v>302.4</v>
      </c>
    </row>
    <row r="32" ht="14.25" customHeight="1">
      <c r="A32" s="262" t="s">
        <v>313</v>
      </c>
      <c r="B32" s="263">
        <v>236594.0</v>
      </c>
      <c r="C32" s="264">
        <v>45940.0</v>
      </c>
      <c r="D32" s="247">
        <v>0.9134606481481482</v>
      </c>
      <c r="E32" s="265">
        <v>287.0</v>
      </c>
      <c r="F32" s="249"/>
      <c r="G32" s="249"/>
      <c r="H32" s="253" t="s">
        <v>534</v>
      </c>
      <c r="I32" s="253" t="s">
        <v>535</v>
      </c>
      <c r="J32" s="266">
        <v>17.1</v>
      </c>
      <c r="K32" s="266">
        <v>310.0</v>
      </c>
      <c r="L32" s="267">
        <f t="shared" si="1"/>
        <v>292.9</v>
      </c>
    </row>
    <row r="33" ht="14.25" customHeight="1">
      <c r="A33" s="262" t="s">
        <v>313</v>
      </c>
      <c r="B33" s="263">
        <v>236659.0</v>
      </c>
      <c r="C33" s="264">
        <v>45940.0</v>
      </c>
      <c r="D33" s="247">
        <v>0.9481944444444445</v>
      </c>
      <c r="E33" s="265">
        <v>283.8</v>
      </c>
      <c r="F33" s="249"/>
      <c r="G33" s="249"/>
      <c r="H33" s="253" t="s">
        <v>536</v>
      </c>
      <c r="I33" s="253" t="s">
        <v>537</v>
      </c>
      <c r="J33" s="266">
        <v>33.0</v>
      </c>
      <c r="K33" s="266">
        <v>320.0</v>
      </c>
      <c r="L33" s="267">
        <f t="shared" si="1"/>
        <v>287</v>
      </c>
    </row>
    <row r="34" ht="14.25" customHeight="1">
      <c r="A34" s="262" t="s">
        <v>313</v>
      </c>
      <c r="B34" s="263">
        <v>236581.0</v>
      </c>
      <c r="C34" s="264">
        <v>45940.0</v>
      </c>
      <c r="D34" s="247">
        <v>0.861712962962963</v>
      </c>
      <c r="E34" s="265">
        <v>266.4</v>
      </c>
      <c r="F34" s="249"/>
      <c r="G34" s="249"/>
      <c r="H34" s="253" t="s">
        <v>538</v>
      </c>
      <c r="I34" s="253" t="s">
        <v>539</v>
      </c>
      <c r="J34" s="266">
        <v>42.57</v>
      </c>
      <c r="K34" s="266">
        <v>326.37</v>
      </c>
      <c r="L34" s="267">
        <f t="shared" si="1"/>
        <v>283.8</v>
      </c>
    </row>
    <row r="35" ht="14.25" customHeight="1">
      <c r="A35" s="262" t="s">
        <v>313</v>
      </c>
      <c r="B35" s="263">
        <v>236518.0</v>
      </c>
      <c r="C35" s="264">
        <v>45940.0</v>
      </c>
      <c r="D35" s="247">
        <v>0.8139120370370371</v>
      </c>
      <c r="E35" s="265">
        <v>265.2</v>
      </c>
      <c r="F35" s="249"/>
      <c r="G35" s="249"/>
      <c r="H35" s="253" t="s">
        <v>540</v>
      </c>
      <c r="I35" s="253" t="s">
        <v>541</v>
      </c>
      <c r="J35" s="266">
        <v>39.96</v>
      </c>
      <c r="K35" s="266">
        <v>306.36</v>
      </c>
      <c r="L35" s="267">
        <f t="shared" si="1"/>
        <v>266.4</v>
      </c>
    </row>
    <row r="36" ht="14.25" customHeight="1">
      <c r="A36" s="262" t="s">
        <v>313</v>
      </c>
      <c r="B36" s="263">
        <v>236683.0</v>
      </c>
      <c r="C36" s="264">
        <v>45940.0</v>
      </c>
      <c r="D36" s="247">
        <v>0.9829976851851852</v>
      </c>
      <c r="E36" s="265">
        <v>258.0</v>
      </c>
      <c r="F36" s="249"/>
      <c r="G36" s="249"/>
      <c r="H36" s="253" t="s">
        <v>542</v>
      </c>
      <c r="I36" s="253" t="s">
        <v>543</v>
      </c>
      <c r="J36" s="266">
        <v>53.04</v>
      </c>
      <c r="K36" s="266">
        <v>318.24</v>
      </c>
      <c r="L36" s="267">
        <f t="shared" si="1"/>
        <v>265.2</v>
      </c>
    </row>
    <row r="37" ht="14.25" customHeight="1">
      <c r="A37" s="262" t="s">
        <v>313</v>
      </c>
      <c r="B37" s="263">
        <v>236611.0</v>
      </c>
      <c r="C37" s="264">
        <v>45940.0</v>
      </c>
      <c r="D37" s="247">
        <v>0.9055671296296296</v>
      </c>
      <c r="E37" s="265">
        <v>251.4</v>
      </c>
      <c r="F37" s="249"/>
      <c r="G37" s="249"/>
      <c r="H37" s="253" t="s">
        <v>544</v>
      </c>
      <c r="I37" s="253" t="s">
        <v>545</v>
      </c>
      <c r="J37" s="266">
        <v>0.0</v>
      </c>
      <c r="K37" s="266">
        <v>258.0</v>
      </c>
      <c r="L37" s="267">
        <f t="shared" si="1"/>
        <v>258</v>
      </c>
    </row>
    <row r="38" ht="14.25" customHeight="1">
      <c r="A38" s="262" t="s">
        <v>313</v>
      </c>
      <c r="B38" s="263">
        <v>236631.0</v>
      </c>
      <c r="C38" s="264">
        <v>45940.0</v>
      </c>
      <c r="D38" s="247">
        <v>0.9356018518518519</v>
      </c>
      <c r="E38" s="265">
        <v>250.4</v>
      </c>
      <c r="F38" s="249"/>
      <c r="G38" s="249"/>
      <c r="H38" s="253" t="s">
        <v>546</v>
      </c>
      <c r="I38" s="253" t="s">
        <v>547</v>
      </c>
      <c r="J38" s="266">
        <v>0.0</v>
      </c>
      <c r="K38" s="266">
        <v>251.4</v>
      </c>
      <c r="L38" s="267">
        <f t="shared" si="1"/>
        <v>251.4</v>
      </c>
    </row>
    <row r="39" ht="14.25" customHeight="1">
      <c r="A39" s="262" t="s">
        <v>313</v>
      </c>
      <c r="B39" s="263">
        <v>236555.0</v>
      </c>
      <c r="C39" s="264">
        <v>45940.0</v>
      </c>
      <c r="D39" s="247">
        <v>0.8400231481481482</v>
      </c>
      <c r="E39" s="265">
        <v>248.4</v>
      </c>
      <c r="F39" s="249"/>
      <c r="G39" s="249"/>
      <c r="H39" s="253" t="s">
        <v>548</v>
      </c>
      <c r="I39" s="253" t="s">
        <v>480</v>
      </c>
      <c r="J39" s="266">
        <v>0.0</v>
      </c>
      <c r="K39" s="266">
        <v>250.4</v>
      </c>
      <c r="L39" s="267">
        <f t="shared" si="1"/>
        <v>250.4</v>
      </c>
    </row>
    <row r="40" ht="14.25" customHeight="1">
      <c r="A40" s="262" t="s">
        <v>313</v>
      </c>
      <c r="B40" s="263">
        <v>236602.0</v>
      </c>
      <c r="C40" s="264">
        <v>45940.0</v>
      </c>
      <c r="D40" s="247">
        <v>0.9315162037037037</v>
      </c>
      <c r="E40" s="265">
        <v>247.5</v>
      </c>
      <c r="F40" s="249"/>
      <c r="G40" s="249"/>
      <c r="H40" s="253" t="s">
        <v>549</v>
      </c>
      <c r="I40" s="253" t="s">
        <v>550</v>
      </c>
      <c r="J40" s="266">
        <v>20.0</v>
      </c>
      <c r="K40" s="266">
        <v>268.4</v>
      </c>
      <c r="L40" s="267">
        <f t="shared" si="1"/>
        <v>248.4</v>
      </c>
    </row>
    <row r="41" ht="14.25" customHeight="1">
      <c r="A41" s="262" t="s">
        <v>313</v>
      </c>
      <c r="B41" s="263">
        <v>236544.0</v>
      </c>
      <c r="C41" s="264">
        <v>45940.0</v>
      </c>
      <c r="D41" s="247">
        <v>0.8459375</v>
      </c>
      <c r="E41" s="265">
        <v>243.9</v>
      </c>
      <c r="F41" s="249"/>
      <c r="G41" s="249"/>
      <c r="H41" s="253" t="s">
        <v>551</v>
      </c>
      <c r="I41" s="253" t="s">
        <v>552</v>
      </c>
      <c r="J41" s="266">
        <v>29.7</v>
      </c>
      <c r="K41" s="266">
        <v>277.2</v>
      </c>
      <c r="L41" s="267">
        <f t="shared" si="1"/>
        <v>247.5</v>
      </c>
    </row>
    <row r="42" ht="14.25" customHeight="1">
      <c r="A42" s="262" t="s">
        <v>313</v>
      </c>
      <c r="B42" s="263">
        <v>236589.0</v>
      </c>
      <c r="C42" s="264">
        <v>45940.0</v>
      </c>
      <c r="D42" s="247">
        <v>0.8886226851851852</v>
      </c>
      <c r="E42" s="265">
        <v>231.9</v>
      </c>
      <c r="F42" s="249"/>
      <c r="G42" s="249"/>
      <c r="H42" s="253" t="s">
        <v>553</v>
      </c>
      <c r="I42" s="253" t="s">
        <v>554</v>
      </c>
      <c r="J42" s="266">
        <v>29.27</v>
      </c>
      <c r="K42" s="266">
        <v>273.17</v>
      </c>
      <c r="L42" s="267">
        <f t="shared" si="1"/>
        <v>243.9</v>
      </c>
    </row>
    <row r="43" ht="14.25" customHeight="1">
      <c r="A43" s="262" t="s">
        <v>313</v>
      </c>
      <c r="B43" s="263">
        <v>236622.0</v>
      </c>
      <c r="C43" s="264">
        <v>45940.0</v>
      </c>
      <c r="D43" s="247">
        <v>0.9230092592592593</v>
      </c>
      <c r="E43" s="265">
        <v>231.0</v>
      </c>
      <c r="F43" s="249"/>
      <c r="G43" s="249"/>
      <c r="H43" s="253" t="s">
        <v>555</v>
      </c>
      <c r="I43" s="253" t="s">
        <v>556</v>
      </c>
      <c r="J43" s="266">
        <v>19.0</v>
      </c>
      <c r="K43" s="266">
        <v>250.9</v>
      </c>
      <c r="L43" s="267">
        <f t="shared" si="1"/>
        <v>231.9</v>
      </c>
    </row>
    <row r="44" ht="14.25" customHeight="1">
      <c r="A44" s="262" t="s">
        <v>313</v>
      </c>
      <c r="B44" s="263">
        <v>236554.0</v>
      </c>
      <c r="C44" s="264">
        <v>45940.0</v>
      </c>
      <c r="D44" s="247">
        <v>0.830300925925926</v>
      </c>
      <c r="E44" s="265">
        <v>230.5</v>
      </c>
      <c r="F44" s="249"/>
      <c r="G44" s="249"/>
      <c r="H44" s="253" t="s">
        <v>557</v>
      </c>
      <c r="I44" s="253" t="s">
        <v>558</v>
      </c>
      <c r="J44" s="266">
        <v>0.0</v>
      </c>
      <c r="K44" s="266">
        <v>231.0</v>
      </c>
      <c r="L44" s="267">
        <f t="shared" si="1"/>
        <v>231</v>
      </c>
    </row>
    <row r="45" ht="14.25" customHeight="1">
      <c r="A45" s="262" t="s">
        <v>313</v>
      </c>
      <c r="B45" s="263">
        <v>236678.0</v>
      </c>
      <c r="C45" s="264">
        <v>45940.0</v>
      </c>
      <c r="D45" s="247">
        <v>0.9637037037037037</v>
      </c>
      <c r="E45" s="265">
        <v>228.9</v>
      </c>
      <c r="F45" s="249"/>
      <c r="G45" s="249"/>
      <c r="H45" s="253" t="s">
        <v>559</v>
      </c>
      <c r="I45" s="253" t="s">
        <v>560</v>
      </c>
      <c r="J45" s="266">
        <v>34.58</v>
      </c>
      <c r="K45" s="266">
        <v>265.08</v>
      </c>
      <c r="L45" s="267">
        <f t="shared" si="1"/>
        <v>230.5</v>
      </c>
    </row>
    <row r="46" ht="14.25" customHeight="1">
      <c r="A46" s="262" t="s">
        <v>313</v>
      </c>
      <c r="B46" s="263">
        <v>236584.0</v>
      </c>
      <c r="C46" s="264">
        <v>45940.0</v>
      </c>
      <c r="D46" s="247">
        <v>0.8702546296296296</v>
      </c>
      <c r="E46" s="265">
        <v>227.5</v>
      </c>
      <c r="F46" s="249"/>
      <c r="G46" s="249"/>
      <c r="H46" s="253" t="s">
        <v>561</v>
      </c>
      <c r="I46" s="253" t="s">
        <v>562</v>
      </c>
      <c r="J46" s="266">
        <v>27.47</v>
      </c>
      <c r="K46" s="266">
        <v>256.37</v>
      </c>
      <c r="L46" s="267">
        <f t="shared" si="1"/>
        <v>228.9</v>
      </c>
    </row>
    <row r="47" ht="14.25" customHeight="1">
      <c r="A47" s="262" t="s">
        <v>313</v>
      </c>
      <c r="B47" s="263">
        <v>236665.0</v>
      </c>
      <c r="C47" s="264">
        <v>45940.0</v>
      </c>
      <c r="D47" s="247">
        <v>0.995474537037037</v>
      </c>
      <c r="E47" s="265">
        <v>220.0</v>
      </c>
      <c r="F47" s="249"/>
      <c r="G47" s="249"/>
      <c r="H47" s="253" t="s">
        <v>563</v>
      </c>
      <c r="I47" s="253" t="s">
        <v>564</v>
      </c>
      <c r="J47" s="266">
        <v>27.3</v>
      </c>
      <c r="K47" s="266">
        <v>254.8</v>
      </c>
      <c r="L47" s="267">
        <f t="shared" si="1"/>
        <v>227.5</v>
      </c>
    </row>
    <row r="48" ht="14.25" customHeight="1">
      <c r="A48" s="262" t="s">
        <v>313</v>
      </c>
      <c r="B48" s="263">
        <v>236548.0</v>
      </c>
      <c r="C48" s="264">
        <v>45940.0</v>
      </c>
      <c r="D48" s="247">
        <v>0.8160416666666667</v>
      </c>
      <c r="E48" s="265">
        <v>215.4</v>
      </c>
      <c r="F48" s="249"/>
      <c r="G48" s="249"/>
      <c r="H48" s="253" t="s">
        <v>565</v>
      </c>
      <c r="I48" s="253" t="s">
        <v>566</v>
      </c>
      <c r="J48" s="266">
        <v>0.0</v>
      </c>
      <c r="K48" s="266">
        <v>220.0</v>
      </c>
      <c r="L48" s="267">
        <f t="shared" si="1"/>
        <v>220</v>
      </c>
    </row>
    <row r="49" ht="14.25" customHeight="1">
      <c r="A49" s="262" t="s">
        <v>313</v>
      </c>
      <c r="B49" s="263">
        <v>236522.0</v>
      </c>
      <c r="C49" s="264">
        <v>45940.0</v>
      </c>
      <c r="D49" s="247">
        <v>0.7913194444444445</v>
      </c>
      <c r="E49" s="265">
        <v>212.8</v>
      </c>
      <c r="F49" s="249"/>
      <c r="G49" s="249"/>
      <c r="H49" s="253" t="s">
        <v>567</v>
      </c>
      <c r="I49" s="253" t="s">
        <v>568</v>
      </c>
      <c r="J49" s="266">
        <v>32.31</v>
      </c>
      <c r="K49" s="266">
        <v>247.71</v>
      </c>
      <c r="L49" s="267">
        <f t="shared" si="1"/>
        <v>215.4</v>
      </c>
    </row>
    <row r="50" ht="14.25" customHeight="1">
      <c r="A50" s="262" t="s">
        <v>313</v>
      </c>
      <c r="B50" s="263">
        <v>236613.0</v>
      </c>
      <c r="C50" s="264">
        <v>45940.0</v>
      </c>
      <c r="D50" s="247">
        <v>0.9233217592592593</v>
      </c>
      <c r="E50" s="265">
        <v>207.5</v>
      </c>
      <c r="F50" s="249"/>
      <c r="G50" s="249"/>
      <c r="H50" s="253" t="s">
        <v>569</v>
      </c>
      <c r="I50" s="253" t="s">
        <v>570</v>
      </c>
      <c r="J50" s="266">
        <v>42.56</v>
      </c>
      <c r="K50" s="266">
        <v>255.36</v>
      </c>
      <c r="L50" s="267">
        <f t="shared" si="1"/>
        <v>212.8</v>
      </c>
    </row>
    <row r="51" ht="14.25" customHeight="1">
      <c r="A51" s="262" t="s">
        <v>313</v>
      </c>
      <c r="B51" s="263">
        <v>236639.0</v>
      </c>
      <c r="C51" s="264">
        <v>45940.0</v>
      </c>
      <c r="D51" s="247">
        <v>0.9388425925925926</v>
      </c>
      <c r="E51" s="265">
        <v>204.4</v>
      </c>
      <c r="F51" s="249"/>
      <c r="G51" s="249"/>
      <c r="H51" s="253" t="s">
        <v>571</v>
      </c>
      <c r="I51" s="253" t="s">
        <v>572</v>
      </c>
      <c r="J51" s="266">
        <v>0.0</v>
      </c>
      <c r="K51" s="266">
        <v>207.5</v>
      </c>
      <c r="L51" s="267">
        <f t="shared" si="1"/>
        <v>207.5</v>
      </c>
    </row>
    <row r="52" ht="14.25" customHeight="1">
      <c r="A52" s="262" t="s">
        <v>313</v>
      </c>
      <c r="B52" s="263">
        <v>236643.0</v>
      </c>
      <c r="C52" s="264">
        <v>45940.0</v>
      </c>
      <c r="D52" s="247">
        <v>0.9557638888888889</v>
      </c>
      <c r="E52" s="265">
        <v>202.9</v>
      </c>
      <c r="F52" s="249"/>
      <c r="G52" s="249"/>
      <c r="H52" s="253" t="s">
        <v>479</v>
      </c>
      <c r="I52" s="253" t="s">
        <v>573</v>
      </c>
      <c r="J52" s="266">
        <v>0.0</v>
      </c>
      <c r="K52" s="266">
        <v>204.4</v>
      </c>
      <c r="L52" s="267">
        <f t="shared" si="1"/>
        <v>204.4</v>
      </c>
    </row>
    <row r="53" ht="14.25" customHeight="1">
      <c r="A53" s="262" t="s">
        <v>313</v>
      </c>
      <c r="B53" s="263">
        <v>236592.0</v>
      </c>
      <c r="C53" s="264">
        <v>45940.0</v>
      </c>
      <c r="D53" s="247">
        <v>0.8891087962962962</v>
      </c>
      <c r="E53" s="265">
        <v>200.9</v>
      </c>
      <c r="F53" s="249"/>
      <c r="G53" s="249"/>
      <c r="H53" s="253" t="s">
        <v>574</v>
      </c>
      <c r="I53" s="253" t="s">
        <v>575</v>
      </c>
      <c r="J53" s="266">
        <v>0.0</v>
      </c>
      <c r="K53" s="266">
        <v>202.9</v>
      </c>
      <c r="L53" s="267">
        <f t="shared" si="1"/>
        <v>202.9</v>
      </c>
    </row>
    <row r="54" ht="14.25" customHeight="1">
      <c r="A54" s="262" t="s">
        <v>313</v>
      </c>
      <c r="B54" s="263">
        <v>236575.0</v>
      </c>
      <c r="C54" s="264">
        <v>45940.0</v>
      </c>
      <c r="D54" s="247">
        <v>0.8525925925925926</v>
      </c>
      <c r="E54" s="265">
        <v>200.0</v>
      </c>
      <c r="F54" s="249"/>
      <c r="G54" s="249"/>
      <c r="H54" s="253" t="s">
        <v>576</v>
      </c>
      <c r="I54" s="253" t="s">
        <v>577</v>
      </c>
      <c r="J54" s="266">
        <v>19.1</v>
      </c>
      <c r="K54" s="266">
        <v>220.0</v>
      </c>
      <c r="L54" s="267">
        <f t="shared" si="1"/>
        <v>200.9</v>
      </c>
    </row>
    <row r="55" ht="14.25" customHeight="1">
      <c r="A55" s="262" t="s">
        <v>313</v>
      </c>
      <c r="B55" s="263">
        <v>236542.0</v>
      </c>
      <c r="C55" s="264">
        <v>45940.0</v>
      </c>
      <c r="D55" s="247">
        <v>0.8143981481481481</v>
      </c>
      <c r="E55" s="265">
        <v>195.2</v>
      </c>
      <c r="F55" s="249"/>
      <c r="G55" s="249"/>
      <c r="H55" s="253" t="s">
        <v>578</v>
      </c>
      <c r="I55" s="253" t="s">
        <v>579</v>
      </c>
      <c r="J55" s="266">
        <v>20.0</v>
      </c>
      <c r="K55" s="266">
        <v>220.0</v>
      </c>
      <c r="L55" s="267">
        <f t="shared" si="1"/>
        <v>200</v>
      </c>
    </row>
    <row r="56" ht="14.25" customHeight="1">
      <c r="A56" s="262" t="s">
        <v>313</v>
      </c>
      <c r="B56" s="263">
        <v>236676.0</v>
      </c>
      <c r="C56" s="264">
        <v>45940.0</v>
      </c>
      <c r="D56" s="247">
        <v>0.9628819444444444</v>
      </c>
      <c r="E56" s="265">
        <v>188.4</v>
      </c>
      <c r="F56" s="249"/>
      <c r="G56" s="249"/>
      <c r="H56" s="253" t="s">
        <v>580</v>
      </c>
      <c r="I56" s="253" t="s">
        <v>581</v>
      </c>
      <c r="J56" s="266">
        <v>23.42</v>
      </c>
      <c r="K56" s="266">
        <v>218.62</v>
      </c>
      <c r="L56" s="267">
        <f t="shared" si="1"/>
        <v>195.2</v>
      </c>
    </row>
    <row r="57" ht="14.25" customHeight="1">
      <c r="A57" s="262" t="s">
        <v>313</v>
      </c>
      <c r="B57" s="263">
        <v>236547.0</v>
      </c>
      <c r="C57" s="264">
        <v>45940.0</v>
      </c>
      <c r="D57" s="247">
        <v>0.8136921296296297</v>
      </c>
      <c r="E57" s="265">
        <v>184.4</v>
      </c>
      <c r="F57" s="249"/>
      <c r="G57" s="265"/>
      <c r="H57" s="253" t="s">
        <v>521</v>
      </c>
      <c r="I57" s="253" t="s">
        <v>582</v>
      </c>
      <c r="J57" s="266">
        <v>37.68</v>
      </c>
      <c r="K57" s="266">
        <v>226.08</v>
      </c>
      <c r="L57" s="267">
        <f t="shared" si="1"/>
        <v>188.4</v>
      </c>
    </row>
    <row r="58" ht="14.25" customHeight="1">
      <c r="A58" s="262" t="s">
        <v>313</v>
      </c>
      <c r="B58" s="263">
        <v>236523.0</v>
      </c>
      <c r="C58" s="264">
        <v>45940.0</v>
      </c>
      <c r="D58" s="247">
        <v>0.7911805555555556</v>
      </c>
      <c r="E58" s="265">
        <v>176.9</v>
      </c>
      <c r="F58" s="249"/>
      <c r="G58" s="249"/>
      <c r="H58" s="253" t="s">
        <v>542</v>
      </c>
      <c r="I58" s="253" t="s">
        <v>583</v>
      </c>
      <c r="J58" s="266">
        <v>27.66</v>
      </c>
      <c r="K58" s="266">
        <v>212.06</v>
      </c>
      <c r="L58" s="267">
        <f t="shared" si="1"/>
        <v>184.4</v>
      </c>
    </row>
    <row r="59" ht="14.25" customHeight="1">
      <c r="A59" s="262" t="s">
        <v>313</v>
      </c>
      <c r="B59" s="263">
        <v>236612.0</v>
      </c>
      <c r="C59" s="264">
        <v>45940.0</v>
      </c>
      <c r="D59" s="247">
        <v>0.9074189814814815</v>
      </c>
      <c r="E59" s="265">
        <v>175.4</v>
      </c>
      <c r="F59" s="249"/>
      <c r="G59" s="249"/>
      <c r="H59" s="253" t="s">
        <v>584</v>
      </c>
      <c r="I59" s="253" t="s">
        <v>585</v>
      </c>
      <c r="J59" s="266">
        <v>0.0</v>
      </c>
      <c r="K59" s="266">
        <v>176.9</v>
      </c>
      <c r="L59" s="267">
        <f t="shared" si="1"/>
        <v>176.9</v>
      </c>
    </row>
    <row r="60" ht="14.25" customHeight="1">
      <c r="A60" s="262" t="s">
        <v>313</v>
      </c>
      <c r="B60" s="263">
        <v>236560.0</v>
      </c>
      <c r="C60" s="264">
        <v>45940.0</v>
      </c>
      <c r="D60" s="247">
        <v>0.8713194444444444</v>
      </c>
      <c r="E60" s="265">
        <v>172.5</v>
      </c>
      <c r="F60" s="249"/>
      <c r="G60" s="249"/>
      <c r="H60" s="253" t="s">
        <v>586</v>
      </c>
      <c r="I60" s="253" t="s">
        <v>587</v>
      </c>
      <c r="J60" s="266">
        <v>21.05</v>
      </c>
      <c r="K60" s="266">
        <v>196.45</v>
      </c>
      <c r="L60" s="267">
        <f t="shared" si="1"/>
        <v>175.4</v>
      </c>
    </row>
    <row r="61" ht="14.25" customHeight="1">
      <c r="A61" s="262" t="s">
        <v>313</v>
      </c>
      <c r="B61" s="263">
        <v>236537.0</v>
      </c>
      <c r="C61" s="264">
        <v>45940.0</v>
      </c>
      <c r="D61" s="247">
        <v>0.8034606481481481</v>
      </c>
      <c r="E61" s="265">
        <v>170.3</v>
      </c>
      <c r="F61" s="249"/>
      <c r="G61" s="249"/>
      <c r="H61" s="253" t="s">
        <v>523</v>
      </c>
      <c r="I61" s="253" t="s">
        <v>588</v>
      </c>
      <c r="J61" s="266">
        <v>17.5</v>
      </c>
      <c r="K61" s="266">
        <v>190.0</v>
      </c>
      <c r="L61" s="267">
        <f t="shared" si="1"/>
        <v>172.5</v>
      </c>
    </row>
    <row r="62" ht="14.25" customHeight="1">
      <c r="A62" s="262" t="s">
        <v>313</v>
      </c>
      <c r="B62" s="263">
        <v>236634.0</v>
      </c>
      <c r="C62" s="264">
        <v>45940.0</v>
      </c>
      <c r="D62" s="247">
        <v>0.9426967592592592</v>
      </c>
      <c r="E62" s="265">
        <v>165.4</v>
      </c>
      <c r="F62" s="249"/>
      <c r="G62" s="249"/>
      <c r="H62" s="253" t="s">
        <v>589</v>
      </c>
      <c r="I62" s="253" t="s">
        <v>590</v>
      </c>
      <c r="J62" s="266">
        <v>25.55</v>
      </c>
      <c r="K62" s="266">
        <v>195.85</v>
      </c>
      <c r="L62" s="267">
        <f t="shared" si="1"/>
        <v>170.3</v>
      </c>
    </row>
    <row r="63" ht="14.25" customHeight="1">
      <c r="A63" s="262" t="s">
        <v>313</v>
      </c>
      <c r="B63" s="263">
        <v>236674.0</v>
      </c>
      <c r="C63" s="264">
        <v>45940.0</v>
      </c>
      <c r="D63" s="247">
        <v>0.9538194444444444</v>
      </c>
      <c r="E63" s="265">
        <v>163.4</v>
      </c>
      <c r="F63" s="249"/>
      <c r="G63" s="249"/>
      <c r="H63" s="253" t="s">
        <v>591</v>
      </c>
      <c r="I63" s="253" t="s">
        <v>592</v>
      </c>
      <c r="J63" s="266">
        <v>0.0</v>
      </c>
      <c r="K63" s="266">
        <v>165.4</v>
      </c>
      <c r="L63" s="267">
        <f t="shared" si="1"/>
        <v>165.4</v>
      </c>
    </row>
    <row r="64" ht="14.25" customHeight="1">
      <c r="A64" s="262" t="s">
        <v>313</v>
      </c>
      <c r="B64" s="263">
        <v>236552.0</v>
      </c>
      <c r="C64" s="264">
        <v>45940.0</v>
      </c>
      <c r="D64" s="247">
        <v>0.8135185185185185</v>
      </c>
      <c r="E64" s="265">
        <v>163.0</v>
      </c>
      <c r="F64" s="249"/>
      <c r="G64" s="249"/>
      <c r="H64" s="253" t="s">
        <v>593</v>
      </c>
      <c r="I64" s="253" t="s">
        <v>594</v>
      </c>
      <c r="J64" s="266">
        <v>0.0</v>
      </c>
      <c r="K64" s="266">
        <v>163.4</v>
      </c>
      <c r="L64" s="267">
        <f t="shared" si="1"/>
        <v>163.4</v>
      </c>
    </row>
    <row r="65" ht="14.25" customHeight="1">
      <c r="A65" s="262" t="s">
        <v>313</v>
      </c>
      <c r="B65" s="263">
        <v>236682.0</v>
      </c>
      <c r="C65" s="264">
        <v>45940.0</v>
      </c>
      <c r="D65" s="247">
        <v>0.9623842592592593</v>
      </c>
      <c r="E65" s="265">
        <v>160.9</v>
      </c>
      <c r="F65" s="249"/>
      <c r="G65" s="249"/>
      <c r="H65" s="253" t="s">
        <v>595</v>
      </c>
      <c r="I65" s="253" t="s">
        <v>596</v>
      </c>
      <c r="J65" s="266">
        <v>32.6</v>
      </c>
      <c r="K65" s="266">
        <v>195.6</v>
      </c>
      <c r="L65" s="267">
        <f t="shared" si="1"/>
        <v>163</v>
      </c>
    </row>
    <row r="66" ht="14.25" customHeight="1">
      <c r="A66" s="262" t="s">
        <v>313</v>
      </c>
      <c r="B66" s="263">
        <v>236598.0</v>
      </c>
      <c r="C66" s="264">
        <v>45940.0</v>
      </c>
      <c r="D66" s="247">
        <v>0.8749421296296296</v>
      </c>
      <c r="E66" s="265">
        <v>155.4</v>
      </c>
      <c r="F66" s="249"/>
      <c r="G66" s="249"/>
      <c r="H66" s="253" t="s">
        <v>489</v>
      </c>
      <c r="I66" s="253" t="s">
        <v>597</v>
      </c>
      <c r="J66" s="266">
        <v>0.0</v>
      </c>
      <c r="K66" s="266">
        <v>160.9</v>
      </c>
      <c r="L66" s="267">
        <f t="shared" si="1"/>
        <v>160.9</v>
      </c>
    </row>
    <row r="67" ht="14.25" customHeight="1">
      <c r="A67" s="262" t="s">
        <v>313</v>
      </c>
      <c r="B67" s="263">
        <v>236640.0</v>
      </c>
      <c r="C67" s="264">
        <v>45940.0</v>
      </c>
      <c r="D67" s="247">
        <v>0.9248263888888889</v>
      </c>
      <c r="E67" s="265">
        <v>151.0</v>
      </c>
      <c r="F67" s="249"/>
      <c r="G67" s="249"/>
      <c r="H67" s="253" t="s">
        <v>598</v>
      </c>
      <c r="I67" s="253" t="s">
        <v>599</v>
      </c>
      <c r="J67" s="266">
        <v>18.65</v>
      </c>
      <c r="K67" s="266">
        <v>174.05</v>
      </c>
      <c r="L67" s="267">
        <f t="shared" si="1"/>
        <v>155.4</v>
      </c>
    </row>
    <row r="68" ht="14.25" customHeight="1">
      <c r="A68" s="262" t="s">
        <v>313</v>
      </c>
      <c r="B68" s="263">
        <v>236640.0</v>
      </c>
      <c r="C68" s="264">
        <v>45940.0</v>
      </c>
      <c r="D68" s="247">
        <v>0.9248611111111111</v>
      </c>
      <c r="E68" s="265">
        <v>151.0</v>
      </c>
      <c r="F68" s="249"/>
      <c r="G68" s="249"/>
      <c r="H68" s="253" t="s">
        <v>600</v>
      </c>
      <c r="I68" s="253" t="s">
        <v>601</v>
      </c>
      <c r="J68" s="266">
        <v>0.0</v>
      </c>
      <c r="K68" s="266">
        <v>151.0</v>
      </c>
      <c r="L68" s="267">
        <f t="shared" si="1"/>
        <v>151</v>
      </c>
    </row>
    <row r="69" ht="14.25" customHeight="1">
      <c r="A69" s="262" t="s">
        <v>313</v>
      </c>
      <c r="B69" s="263">
        <v>236557.0</v>
      </c>
      <c r="C69" s="264">
        <v>45940.0</v>
      </c>
      <c r="D69" s="247">
        <v>0.838912037037037</v>
      </c>
      <c r="E69" s="265">
        <v>150.0</v>
      </c>
      <c r="F69" s="249"/>
      <c r="G69" s="249"/>
      <c r="H69" s="253" t="s">
        <v>600</v>
      </c>
      <c r="I69" s="253" t="s">
        <v>602</v>
      </c>
      <c r="J69" s="266">
        <v>0.0</v>
      </c>
      <c r="K69" s="266">
        <v>151.0</v>
      </c>
      <c r="L69" s="267">
        <f t="shared" si="1"/>
        <v>151</v>
      </c>
    </row>
    <row r="70" ht="14.25" customHeight="1">
      <c r="A70" s="262" t="s">
        <v>313</v>
      </c>
      <c r="B70" s="263">
        <v>236673.0</v>
      </c>
      <c r="C70" s="264">
        <v>45940.0</v>
      </c>
      <c r="D70" s="247">
        <v>0.925</v>
      </c>
      <c r="E70" s="265">
        <v>144.9</v>
      </c>
      <c r="F70" s="249"/>
      <c r="G70" s="249"/>
      <c r="H70" s="253" t="s">
        <v>603</v>
      </c>
      <c r="I70" s="253" t="s">
        <v>604</v>
      </c>
      <c r="J70" s="266">
        <v>0.0</v>
      </c>
      <c r="K70" s="266">
        <v>150.0</v>
      </c>
      <c r="L70" s="267">
        <f t="shared" si="1"/>
        <v>150</v>
      </c>
    </row>
    <row r="71" ht="14.25" customHeight="1">
      <c r="A71" s="262" t="s">
        <v>313</v>
      </c>
      <c r="B71" s="263">
        <v>236519.0</v>
      </c>
      <c r="C71" s="264">
        <v>45940.0</v>
      </c>
      <c r="D71" s="247">
        <v>0.7759490740740741</v>
      </c>
      <c r="E71" s="265">
        <v>144.1</v>
      </c>
      <c r="F71" s="249"/>
      <c r="G71" s="249"/>
      <c r="H71" s="253" t="s">
        <v>605</v>
      </c>
      <c r="I71" s="253" t="s">
        <v>606</v>
      </c>
      <c r="J71" s="266">
        <v>0.0</v>
      </c>
      <c r="K71" s="266">
        <v>144.9</v>
      </c>
      <c r="L71" s="267">
        <f t="shared" si="1"/>
        <v>144.9</v>
      </c>
    </row>
    <row r="72" ht="14.25" customHeight="1">
      <c r="A72" s="262" t="s">
        <v>313</v>
      </c>
      <c r="B72" s="263">
        <v>236534.0</v>
      </c>
      <c r="C72" s="264">
        <v>45940.0</v>
      </c>
      <c r="D72" s="247">
        <v>0.8036689814814815</v>
      </c>
      <c r="E72" s="265">
        <v>143.9</v>
      </c>
      <c r="F72" s="249"/>
      <c r="G72" s="249"/>
      <c r="H72" s="253" t="s">
        <v>607</v>
      </c>
      <c r="I72" s="253" t="s">
        <v>608</v>
      </c>
      <c r="J72" s="266">
        <v>5.9</v>
      </c>
      <c r="K72" s="266">
        <v>150.0</v>
      </c>
      <c r="L72" s="267">
        <f t="shared" si="1"/>
        <v>144.1</v>
      </c>
    </row>
    <row r="73" ht="14.25" customHeight="1">
      <c r="A73" s="262" t="s">
        <v>313</v>
      </c>
      <c r="B73" s="263">
        <v>236532.0</v>
      </c>
      <c r="C73" s="264">
        <v>45940.0</v>
      </c>
      <c r="D73" s="247">
        <v>0.7701041666666667</v>
      </c>
      <c r="E73" s="265">
        <v>139.9</v>
      </c>
      <c r="F73" s="249"/>
      <c r="G73" s="249"/>
      <c r="H73" s="253" t="s">
        <v>609</v>
      </c>
      <c r="I73" s="253" t="s">
        <v>610</v>
      </c>
      <c r="J73" s="266">
        <v>0.0</v>
      </c>
      <c r="K73" s="266">
        <v>143.9</v>
      </c>
      <c r="L73" s="267">
        <f t="shared" si="1"/>
        <v>143.9</v>
      </c>
    </row>
    <row r="74" ht="14.25" customHeight="1">
      <c r="A74" s="262" t="s">
        <v>313</v>
      </c>
      <c r="B74" s="263">
        <v>236517.0</v>
      </c>
      <c r="C74" s="264">
        <v>45940.0</v>
      </c>
      <c r="D74" s="247">
        <v>0.78375</v>
      </c>
      <c r="E74" s="265">
        <v>138.9</v>
      </c>
      <c r="F74" s="249"/>
      <c r="G74" s="249"/>
      <c r="H74" s="253" t="s">
        <v>611</v>
      </c>
      <c r="I74" s="253" t="s">
        <v>612</v>
      </c>
      <c r="J74" s="266">
        <v>20.99</v>
      </c>
      <c r="K74" s="266">
        <v>160.89</v>
      </c>
      <c r="L74" s="267">
        <f t="shared" si="1"/>
        <v>139.9</v>
      </c>
    </row>
    <row r="75" ht="14.25" customHeight="1">
      <c r="A75" s="262" t="s">
        <v>313</v>
      </c>
      <c r="B75" s="263">
        <v>236528.0</v>
      </c>
      <c r="C75" s="264">
        <v>45940.0</v>
      </c>
      <c r="D75" s="247">
        <v>0.8162037037037037</v>
      </c>
      <c r="E75" s="265">
        <v>134.4</v>
      </c>
      <c r="F75" s="249"/>
      <c r="G75" s="249"/>
      <c r="H75" s="253" t="s">
        <v>613</v>
      </c>
      <c r="I75" s="253" t="s">
        <v>364</v>
      </c>
      <c r="J75" s="266">
        <v>0.0</v>
      </c>
      <c r="K75" s="266">
        <v>138.9</v>
      </c>
      <c r="L75" s="267">
        <f t="shared" si="1"/>
        <v>138.9</v>
      </c>
    </row>
    <row r="76" ht="14.25" customHeight="1">
      <c r="A76" s="262" t="s">
        <v>313</v>
      </c>
      <c r="B76" s="263">
        <v>236573.0</v>
      </c>
      <c r="C76" s="264">
        <v>45940.0</v>
      </c>
      <c r="D76" s="247">
        <v>0.8457638888888889</v>
      </c>
      <c r="E76" s="265">
        <v>132.4</v>
      </c>
      <c r="F76" s="249"/>
      <c r="G76" s="249"/>
      <c r="H76" s="253" t="s">
        <v>614</v>
      </c>
      <c r="I76" s="253" t="s">
        <v>615</v>
      </c>
      <c r="J76" s="266">
        <v>26.88</v>
      </c>
      <c r="K76" s="266">
        <v>161.28</v>
      </c>
      <c r="L76" s="267">
        <f t="shared" si="1"/>
        <v>134.4</v>
      </c>
    </row>
    <row r="77" ht="14.25" customHeight="1">
      <c r="A77" s="262" t="s">
        <v>313</v>
      </c>
      <c r="B77" s="263">
        <v>236539.0</v>
      </c>
      <c r="C77" s="264">
        <v>45940.0</v>
      </c>
      <c r="D77" s="247">
        <v>0.7987152777777777</v>
      </c>
      <c r="E77" s="265">
        <v>131.9</v>
      </c>
      <c r="F77" s="249"/>
      <c r="G77" s="249"/>
      <c r="H77" s="253" t="s">
        <v>616</v>
      </c>
      <c r="I77" s="253" t="s">
        <v>617</v>
      </c>
      <c r="J77" s="266">
        <v>15.89</v>
      </c>
      <c r="K77" s="266">
        <v>148.29</v>
      </c>
      <c r="L77" s="267">
        <f t="shared" si="1"/>
        <v>132.4</v>
      </c>
    </row>
    <row r="78" ht="14.25" customHeight="1">
      <c r="A78" s="262" t="s">
        <v>313</v>
      </c>
      <c r="B78" s="263">
        <v>236577.0</v>
      </c>
      <c r="C78" s="264">
        <v>45940.0</v>
      </c>
      <c r="D78" s="247">
        <v>0.8884837962962963</v>
      </c>
      <c r="E78" s="265">
        <v>130.4</v>
      </c>
      <c r="F78" s="249"/>
      <c r="G78" s="249"/>
      <c r="H78" s="253" t="s">
        <v>618</v>
      </c>
      <c r="I78" s="253" t="s">
        <v>619</v>
      </c>
      <c r="J78" s="266">
        <v>15.83</v>
      </c>
      <c r="K78" s="266">
        <v>147.73</v>
      </c>
      <c r="L78" s="267">
        <f t="shared" si="1"/>
        <v>131.9</v>
      </c>
    </row>
    <row r="79" ht="14.25" customHeight="1">
      <c r="A79" s="262" t="s">
        <v>313</v>
      </c>
      <c r="B79" s="263">
        <v>236684.0</v>
      </c>
      <c r="C79" s="264">
        <v>45940.0</v>
      </c>
      <c r="D79" s="247">
        <v>0.9753009259259259</v>
      </c>
      <c r="E79" s="265">
        <v>123.9</v>
      </c>
      <c r="F79" s="249"/>
      <c r="G79" s="249"/>
      <c r="H79" s="253" t="s">
        <v>620</v>
      </c>
      <c r="I79" s="253" t="s">
        <v>621</v>
      </c>
      <c r="J79" s="266">
        <v>0.0</v>
      </c>
      <c r="K79" s="266">
        <v>130.4</v>
      </c>
      <c r="L79" s="267">
        <f t="shared" si="1"/>
        <v>130.4</v>
      </c>
    </row>
    <row r="80" ht="14.25" customHeight="1">
      <c r="A80" s="262" t="s">
        <v>313</v>
      </c>
      <c r="B80" s="263">
        <v>236617.0</v>
      </c>
      <c r="C80" s="264">
        <v>45940.0</v>
      </c>
      <c r="D80" s="247">
        <v>0.9033217592592593</v>
      </c>
      <c r="E80" s="265">
        <v>123.0</v>
      </c>
      <c r="F80" s="249"/>
      <c r="G80" s="249"/>
      <c r="H80" s="253" t="s">
        <v>622</v>
      </c>
      <c r="I80" s="253" t="s">
        <v>623</v>
      </c>
      <c r="J80" s="266">
        <v>24.78</v>
      </c>
      <c r="K80" s="266">
        <v>148.68</v>
      </c>
      <c r="L80" s="267">
        <f t="shared" si="1"/>
        <v>123.9</v>
      </c>
    </row>
    <row r="81" ht="14.25" customHeight="1">
      <c r="A81" s="262" t="s">
        <v>313</v>
      </c>
      <c r="B81" s="263">
        <v>236595.0</v>
      </c>
      <c r="C81" s="264">
        <v>45940.0</v>
      </c>
      <c r="D81" s="247">
        <v>0.9041087962962963</v>
      </c>
      <c r="E81" s="265">
        <v>120.0</v>
      </c>
      <c r="F81" s="249"/>
      <c r="G81" s="249"/>
      <c r="H81" s="253" t="s">
        <v>519</v>
      </c>
      <c r="I81" s="253" t="s">
        <v>624</v>
      </c>
      <c r="J81" s="266">
        <v>0.0</v>
      </c>
      <c r="K81" s="266">
        <v>123.0</v>
      </c>
      <c r="L81" s="267">
        <f t="shared" si="1"/>
        <v>123</v>
      </c>
    </row>
    <row r="82" ht="14.25" customHeight="1">
      <c r="A82" s="262" t="s">
        <v>313</v>
      </c>
      <c r="B82" s="263">
        <v>236595.0</v>
      </c>
      <c r="C82" s="264">
        <v>45940.0</v>
      </c>
      <c r="D82" s="247">
        <v>0.9040625</v>
      </c>
      <c r="E82" s="265">
        <v>120.0</v>
      </c>
      <c r="F82" s="249"/>
      <c r="G82" s="265"/>
      <c r="H82" s="253" t="s">
        <v>625</v>
      </c>
      <c r="I82" s="253" t="s">
        <v>626</v>
      </c>
      <c r="J82" s="266">
        <v>0.0</v>
      </c>
      <c r="K82" s="266">
        <v>120.0</v>
      </c>
      <c r="L82" s="267">
        <f t="shared" si="1"/>
        <v>120</v>
      </c>
    </row>
    <row r="83" ht="14.25" customHeight="1">
      <c r="A83" s="262" t="s">
        <v>313</v>
      </c>
      <c r="B83" s="263">
        <v>236595.0</v>
      </c>
      <c r="C83" s="264">
        <v>45940.0</v>
      </c>
      <c r="D83" s="247">
        <v>0.9039814814814815</v>
      </c>
      <c r="E83" s="265">
        <v>120.0</v>
      </c>
      <c r="F83" s="249"/>
      <c r="G83" s="249"/>
      <c r="H83" s="253" t="s">
        <v>627</v>
      </c>
      <c r="I83" s="253" t="s">
        <v>628</v>
      </c>
      <c r="J83" s="266">
        <v>0.0</v>
      </c>
      <c r="K83" s="266">
        <v>120.0</v>
      </c>
      <c r="L83" s="267">
        <f t="shared" si="1"/>
        <v>120</v>
      </c>
    </row>
    <row r="84" ht="14.25" customHeight="1">
      <c r="A84" s="262" t="s">
        <v>313</v>
      </c>
      <c r="B84" s="263">
        <v>236681.0</v>
      </c>
      <c r="C84" s="264">
        <v>45940.0</v>
      </c>
      <c r="D84" s="247">
        <v>0.9536458333333333</v>
      </c>
      <c r="E84" s="265">
        <v>117.3</v>
      </c>
      <c r="F84" s="249"/>
      <c r="G84" s="249"/>
      <c r="H84" s="253" t="s">
        <v>627</v>
      </c>
      <c r="I84" s="253" t="s">
        <v>629</v>
      </c>
      <c r="J84" s="266">
        <v>0.0</v>
      </c>
      <c r="K84" s="266">
        <v>120.0</v>
      </c>
      <c r="L84" s="267">
        <f t="shared" si="1"/>
        <v>120</v>
      </c>
    </row>
    <row r="85" ht="14.25" customHeight="1">
      <c r="A85" s="262" t="s">
        <v>313</v>
      </c>
      <c r="B85" s="263">
        <v>236524.0</v>
      </c>
      <c r="C85" s="264">
        <v>45940.0</v>
      </c>
      <c r="D85" s="247">
        <v>0.7790856481481482</v>
      </c>
      <c r="E85" s="265">
        <v>115.0</v>
      </c>
      <c r="F85" s="249"/>
      <c r="G85" s="249"/>
      <c r="H85" s="253" t="s">
        <v>593</v>
      </c>
      <c r="I85" s="253" t="s">
        <v>630</v>
      </c>
      <c r="J85" s="266">
        <v>0.0</v>
      </c>
      <c r="K85" s="266">
        <v>117.3</v>
      </c>
      <c r="L85" s="267">
        <f t="shared" si="1"/>
        <v>117.3</v>
      </c>
    </row>
    <row r="86" ht="14.25" customHeight="1">
      <c r="A86" s="262" t="s">
        <v>313</v>
      </c>
      <c r="B86" s="263">
        <v>236583.0</v>
      </c>
      <c r="C86" s="264">
        <v>45940.0</v>
      </c>
      <c r="D86" s="247">
        <v>0.8764583333333333</v>
      </c>
      <c r="E86" s="265">
        <v>115.0</v>
      </c>
      <c r="F86" s="249"/>
      <c r="G86" s="249"/>
      <c r="H86" s="253" t="s">
        <v>631</v>
      </c>
      <c r="I86" s="253" t="s">
        <v>632</v>
      </c>
      <c r="J86" s="266">
        <v>0.0</v>
      </c>
      <c r="K86" s="266">
        <v>115.0</v>
      </c>
      <c r="L86" s="267">
        <f t="shared" si="1"/>
        <v>115</v>
      </c>
    </row>
    <row r="87" ht="14.25" customHeight="1">
      <c r="A87" s="262" t="s">
        <v>313</v>
      </c>
      <c r="B87" s="263">
        <v>236545.0</v>
      </c>
      <c r="C87" s="264">
        <v>45940.0</v>
      </c>
      <c r="D87" s="247">
        <v>0.7988310185185186</v>
      </c>
      <c r="E87" s="265">
        <v>109.9</v>
      </c>
      <c r="F87" s="249"/>
      <c r="G87" s="249"/>
      <c r="H87" s="253" t="s">
        <v>633</v>
      </c>
      <c r="I87" s="253" t="s">
        <v>634</v>
      </c>
      <c r="J87" s="266">
        <v>0.0</v>
      </c>
      <c r="K87" s="266">
        <v>115.0</v>
      </c>
      <c r="L87" s="267">
        <f t="shared" si="1"/>
        <v>115</v>
      </c>
    </row>
    <row r="88" ht="14.25" customHeight="1">
      <c r="A88" s="262" t="s">
        <v>313</v>
      </c>
      <c r="B88" s="263">
        <v>236653.0</v>
      </c>
      <c r="C88" s="264">
        <v>45940.0</v>
      </c>
      <c r="D88" s="247">
        <v>0.9425231481481482</v>
      </c>
      <c r="E88" s="265">
        <v>93.0</v>
      </c>
      <c r="F88" s="249"/>
      <c r="G88" s="249"/>
      <c r="H88" s="253" t="s">
        <v>635</v>
      </c>
      <c r="I88" s="253" t="s">
        <v>636</v>
      </c>
      <c r="J88" s="266">
        <v>10.1</v>
      </c>
      <c r="K88" s="266">
        <v>120.0</v>
      </c>
      <c r="L88" s="267">
        <f t="shared" si="1"/>
        <v>109.9</v>
      </c>
    </row>
    <row r="89" ht="14.25" customHeight="1">
      <c r="A89" s="262" t="s">
        <v>313</v>
      </c>
      <c r="B89" s="263">
        <v>236525.0</v>
      </c>
      <c r="C89" s="264">
        <v>45940.0</v>
      </c>
      <c r="D89" s="247">
        <v>0.7800462962962963</v>
      </c>
      <c r="E89" s="265">
        <v>85.9</v>
      </c>
      <c r="F89" s="249"/>
      <c r="G89" s="249"/>
      <c r="H89" s="253" t="s">
        <v>483</v>
      </c>
      <c r="I89" s="253" t="s">
        <v>339</v>
      </c>
      <c r="J89" s="266">
        <v>18.6</v>
      </c>
      <c r="K89" s="266">
        <v>111.6</v>
      </c>
      <c r="L89" s="267">
        <f t="shared" si="1"/>
        <v>93</v>
      </c>
    </row>
    <row r="90" ht="14.25" customHeight="1">
      <c r="A90" s="262" t="s">
        <v>313</v>
      </c>
      <c r="B90" s="263">
        <v>236593.0</v>
      </c>
      <c r="C90" s="264">
        <v>45940.0</v>
      </c>
      <c r="D90" s="247">
        <v>0.9241319444444445</v>
      </c>
      <c r="E90" s="265">
        <v>85.0</v>
      </c>
      <c r="F90" s="249"/>
      <c r="G90" s="249"/>
      <c r="H90" s="253" t="s">
        <v>637</v>
      </c>
      <c r="I90" s="253" t="s">
        <v>638</v>
      </c>
      <c r="J90" s="266">
        <v>17.18</v>
      </c>
      <c r="K90" s="266">
        <v>103.08</v>
      </c>
      <c r="L90" s="267">
        <f t="shared" si="1"/>
        <v>85.9</v>
      </c>
    </row>
    <row r="91" ht="14.25" customHeight="1">
      <c r="A91" s="262" t="s">
        <v>313</v>
      </c>
      <c r="B91" s="263">
        <v>236593.0</v>
      </c>
      <c r="C91" s="264">
        <v>45940.0</v>
      </c>
      <c r="D91" s="247">
        <v>0.9238194444444444</v>
      </c>
      <c r="E91" s="265">
        <v>85.0</v>
      </c>
      <c r="F91" s="249"/>
      <c r="G91" s="249"/>
      <c r="H91" s="253" t="s">
        <v>639</v>
      </c>
      <c r="I91" s="253" t="s">
        <v>640</v>
      </c>
      <c r="J91" s="266">
        <v>0.0</v>
      </c>
      <c r="K91" s="266">
        <v>85.0</v>
      </c>
      <c r="L91" s="267">
        <f t="shared" si="1"/>
        <v>85</v>
      </c>
    </row>
    <row r="92" ht="14.25" customHeight="1">
      <c r="A92" s="269" t="s">
        <v>313</v>
      </c>
      <c r="B92" s="270">
        <v>236593.0</v>
      </c>
      <c r="C92" s="271">
        <v>45940.0</v>
      </c>
      <c r="D92" s="272">
        <v>0.9242824074074074</v>
      </c>
      <c r="E92" s="265">
        <v>85.0</v>
      </c>
      <c r="F92" s="249"/>
      <c r="G92" s="249"/>
      <c r="H92" s="253" t="s">
        <v>641</v>
      </c>
      <c r="I92" s="253" t="s">
        <v>642</v>
      </c>
      <c r="J92" s="266">
        <v>0.0</v>
      </c>
      <c r="K92" s="266">
        <v>85.0</v>
      </c>
      <c r="L92" s="267">
        <f t="shared" si="1"/>
        <v>85</v>
      </c>
    </row>
    <row r="93" ht="14.25" customHeight="1">
      <c r="A93" s="262" t="s">
        <v>313</v>
      </c>
      <c r="B93" s="263">
        <v>236593.0</v>
      </c>
      <c r="C93" s="264">
        <v>45940.0</v>
      </c>
      <c r="D93" s="247">
        <v>0.9243055555555556</v>
      </c>
      <c r="E93" s="265">
        <v>85.0</v>
      </c>
      <c r="F93" s="249"/>
      <c r="G93" s="249"/>
      <c r="H93" s="253" t="s">
        <v>536</v>
      </c>
      <c r="I93" s="253" t="s">
        <v>643</v>
      </c>
      <c r="J93" s="266">
        <v>0.0</v>
      </c>
      <c r="K93" s="266">
        <v>85.0</v>
      </c>
      <c r="L93" s="267">
        <f t="shared" si="1"/>
        <v>85</v>
      </c>
    </row>
    <row r="94" ht="14.25" customHeight="1">
      <c r="A94" s="262" t="s">
        <v>313</v>
      </c>
      <c r="B94" s="263">
        <v>236558.0</v>
      </c>
      <c r="C94" s="264">
        <v>45940.0</v>
      </c>
      <c r="D94" s="247">
        <v>0.8544907407407407</v>
      </c>
      <c r="E94" s="265">
        <v>74.9</v>
      </c>
      <c r="F94" s="249"/>
      <c r="G94" s="249"/>
      <c r="H94" s="253" t="s">
        <v>644</v>
      </c>
      <c r="I94" s="253" t="s">
        <v>645</v>
      </c>
      <c r="J94" s="266">
        <v>6.0</v>
      </c>
      <c r="K94" s="266">
        <v>80.9</v>
      </c>
      <c r="L94" s="267">
        <f t="shared" si="1"/>
        <v>74.9</v>
      </c>
    </row>
    <row r="95" ht="14.25" customHeight="1">
      <c r="A95" s="262" t="s">
        <v>313</v>
      </c>
      <c r="B95" s="263">
        <v>236679.0</v>
      </c>
      <c r="C95" s="264">
        <v>45940.0</v>
      </c>
      <c r="D95" s="247">
        <v>0.9634375</v>
      </c>
      <c r="E95" s="265">
        <v>63.3</v>
      </c>
      <c r="F95" s="249"/>
      <c r="G95" s="249"/>
      <c r="H95" s="253" t="s">
        <v>646</v>
      </c>
      <c r="I95" s="253" t="s">
        <v>647</v>
      </c>
      <c r="J95" s="266">
        <v>36.7</v>
      </c>
      <c r="K95" s="266">
        <v>100.0</v>
      </c>
      <c r="L95" s="267">
        <f t="shared" si="1"/>
        <v>63.3</v>
      </c>
    </row>
    <row r="96" ht="14.25" customHeight="1">
      <c r="A96" s="262" t="s">
        <v>313</v>
      </c>
      <c r="B96" s="263">
        <v>236590.0</v>
      </c>
      <c r="C96" s="264">
        <v>45940.0</v>
      </c>
      <c r="D96" s="247">
        <v>0.8889236111111111</v>
      </c>
      <c r="E96" s="265">
        <v>62.64</v>
      </c>
      <c r="F96" s="249"/>
      <c r="G96" s="249"/>
      <c r="H96" s="253" t="s">
        <v>648</v>
      </c>
      <c r="I96" s="253" t="s">
        <v>649</v>
      </c>
      <c r="J96" s="266">
        <v>7.52</v>
      </c>
      <c r="K96" s="266">
        <v>70.15</v>
      </c>
      <c r="L96" s="267">
        <f t="shared" si="1"/>
        <v>62.63</v>
      </c>
    </row>
    <row r="97" ht="14.25" customHeight="1">
      <c r="A97" s="262" t="s">
        <v>313</v>
      </c>
      <c r="B97" s="263">
        <v>236590.0</v>
      </c>
      <c r="C97" s="264">
        <v>45940.0</v>
      </c>
      <c r="D97" s="247">
        <v>0.8888773148148148</v>
      </c>
      <c r="E97" s="265">
        <v>62.63</v>
      </c>
      <c r="F97" s="249"/>
      <c r="G97" s="249"/>
      <c r="H97" s="253" t="s">
        <v>650</v>
      </c>
      <c r="I97" s="253" t="s">
        <v>651</v>
      </c>
      <c r="J97" s="266">
        <v>9.39</v>
      </c>
      <c r="K97" s="266">
        <v>72.02</v>
      </c>
      <c r="L97" s="267">
        <f t="shared" si="1"/>
        <v>62.63</v>
      </c>
    </row>
    <row r="98" ht="14.25" customHeight="1">
      <c r="A98" s="262" t="s">
        <v>313</v>
      </c>
      <c r="B98" s="263">
        <v>236590.0</v>
      </c>
      <c r="C98" s="264">
        <v>45940.0</v>
      </c>
      <c r="D98" s="247">
        <v>0.8888078703703703</v>
      </c>
      <c r="E98" s="265">
        <v>62.63</v>
      </c>
      <c r="F98" s="249"/>
      <c r="G98" s="249"/>
      <c r="H98" s="253" t="s">
        <v>650</v>
      </c>
      <c r="I98" s="253" t="s">
        <v>652</v>
      </c>
      <c r="J98" s="266">
        <v>9.39</v>
      </c>
      <c r="K98" s="266">
        <v>72.02</v>
      </c>
      <c r="L98" s="267">
        <f t="shared" si="1"/>
        <v>62.63</v>
      </c>
    </row>
    <row r="99" ht="14.25" customHeight="1">
      <c r="A99" s="262" t="s">
        <v>313</v>
      </c>
      <c r="B99" s="263">
        <v>236531.0</v>
      </c>
      <c r="C99" s="264">
        <v>45940.0</v>
      </c>
      <c r="D99" s="247">
        <v>0.784074074074074</v>
      </c>
      <c r="E99" s="265">
        <v>58.75</v>
      </c>
      <c r="F99" s="249"/>
      <c r="G99" s="249"/>
      <c r="H99" s="253" t="s">
        <v>653</v>
      </c>
      <c r="I99" s="253" t="s">
        <v>654</v>
      </c>
      <c r="J99" s="266">
        <v>0.0</v>
      </c>
      <c r="K99" s="266">
        <v>58.75</v>
      </c>
      <c r="L99" s="267">
        <f t="shared" si="1"/>
        <v>58.75</v>
      </c>
    </row>
    <row r="100" ht="14.25" customHeight="1">
      <c r="A100" s="262" t="s">
        <v>313</v>
      </c>
      <c r="B100" s="263">
        <v>236531.0</v>
      </c>
      <c r="C100" s="264">
        <v>45940.0</v>
      </c>
      <c r="D100" s="247">
        <v>0.7840393518518518</v>
      </c>
      <c r="E100" s="265">
        <v>58.75</v>
      </c>
      <c r="F100" s="249"/>
      <c r="G100" s="249"/>
      <c r="H100" s="253" t="s">
        <v>653</v>
      </c>
      <c r="I100" s="253" t="s">
        <v>655</v>
      </c>
      <c r="J100" s="266">
        <v>0.0</v>
      </c>
      <c r="K100" s="266">
        <v>58.75</v>
      </c>
      <c r="L100" s="267">
        <f t="shared" si="1"/>
        <v>58.75</v>
      </c>
    </row>
    <row r="101" ht="14.25" customHeight="1">
      <c r="A101" s="269" t="s">
        <v>313</v>
      </c>
      <c r="B101" s="270">
        <v>236593.0</v>
      </c>
      <c r="C101" s="271">
        <v>45940.0</v>
      </c>
      <c r="D101" s="272">
        <v>0.9238888888888889</v>
      </c>
      <c r="E101" s="265">
        <v>48.3</v>
      </c>
      <c r="F101" s="249"/>
      <c r="G101" s="249"/>
      <c r="H101" s="253" t="s">
        <v>656</v>
      </c>
      <c r="I101" s="253" t="s">
        <v>657</v>
      </c>
      <c r="J101" s="266">
        <v>0.0</v>
      </c>
      <c r="K101" s="266">
        <v>46.5</v>
      </c>
      <c r="L101" s="267">
        <f t="shared" si="1"/>
        <v>46.5</v>
      </c>
    </row>
    <row r="102" ht="14.25" customHeight="1">
      <c r="A102" s="262" t="s">
        <v>313</v>
      </c>
      <c r="B102" s="263">
        <v>236614.0</v>
      </c>
      <c r="C102" s="264">
        <v>45940.0</v>
      </c>
      <c r="D102" s="247">
        <v>0.8339814814814814</v>
      </c>
      <c r="E102" s="265">
        <v>46.5</v>
      </c>
      <c r="F102" s="249"/>
      <c r="G102" s="249"/>
      <c r="H102" s="253" t="s">
        <v>658</v>
      </c>
      <c r="I102" s="253" t="s">
        <v>659</v>
      </c>
      <c r="J102" s="266">
        <v>0.0</v>
      </c>
      <c r="K102" s="266">
        <v>42.5</v>
      </c>
      <c r="L102" s="267">
        <f t="shared" si="1"/>
        <v>42.5</v>
      </c>
    </row>
    <row r="103" ht="14.25" customHeight="1">
      <c r="A103" s="262" t="s">
        <v>313</v>
      </c>
      <c r="B103" s="263">
        <v>236692.0</v>
      </c>
      <c r="C103" s="264">
        <v>45940.0</v>
      </c>
      <c r="D103" s="247">
        <v>0.9443402777777777</v>
      </c>
      <c r="E103" s="265">
        <v>42.5</v>
      </c>
      <c r="F103" s="249"/>
      <c r="G103" s="249"/>
      <c r="H103" s="253" t="s">
        <v>660</v>
      </c>
      <c r="I103" s="253" t="s">
        <v>661</v>
      </c>
      <c r="J103" s="266">
        <v>0.0</v>
      </c>
      <c r="K103" s="266">
        <v>41.0</v>
      </c>
      <c r="L103" s="267">
        <f t="shared" si="1"/>
        <v>41</v>
      </c>
    </row>
    <row r="104" ht="14.25" customHeight="1">
      <c r="A104" s="262" t="s">
        <v>313</v>
      </c>
      <c r="B104" s="263">
        <v>236695.0</v>
      </c>
      <c r="C104" s="264">
        <v>45940.0</v>
      </c>
      <c r="D104" s="247">
        <v>0.974224537037037</v>
      </c>
      <c r="E104" s="265">
        <v>41.0</v>
      </c>
      <c r="F104" s="249"/>
      <c r="G104" s="249"/>
      <c r="H104" s="253" t="s">
        <v>584</v>
      </c>
      <c r="I104" s="253" t="s">
        <v>662</v>
      </c>
      <c r="J104" s="266">
        <v>4.0</v>
      </c>
      <c r="K104" s="266">
        <v>43.0</v>
      </c>
      <c r="L104" s="267">
        <f t="shared" si="1"/>
        <v>39</v>
      </c>
    </row>
    <row r="105" ht="14.25" customHeight="1">
      <c r="A105" s="262" t="s">
        <v>313</v>
      </c>
      <c r="B105" s="263">
        <v>236570.0</v>
      </c>
      <c r="C105" s="264">
        <v>45940.0</v>
      </c>
      <c r="D105" s="247">
        <v>0.7892824074074074</v>
      </c>
      <c r="E105" s="265">
        <v>39.0</v>
      </c>
      <c r="F105" s="249"/>
      <c r="G105" s="249"/>
      <c r="H105" s="253" t="s">
        <v>663</v>
      </c>
      <c r="I105" s="253" t="s">
        <v>664</v>
      </c>
      <c r="J105" s="266">
        <v>0.0</v>
      </c>
      <c r="K105" s="266">
        <v>33.7</v>
      </c>
      <c r="L105" s="267">
        <f t="shared" si="1"/>
        <v>33.7</v>
      </c>
    </row>
    <row r="106" ht="14.25" customHeight="1">
      <c r="A106" s="262" t="s">
        <v>313</v>
      </c>
      <c r="B106" s="263">
        <v>236694.0</v>
      </c>
      <c r="C106" s="264">
        <v>45940.0</v>
      </c>
      <c r="D106" s="247">
        <v>0.9657986111111111</v>
      </c>
      <c r="E106" s="265">
        <v>33.7</v>
      </c>
      <c r="F106" s="249"/>
      <c r="G106" s="249"/>
      <c r="H106" s="253" t="s">
        <v>586</v>
      </c>
      <c r="I106" s="253" t="s">
        <v>665</v>
      </c>
      <c r="J106" s="266">
        <v>0.0</v>
      </c>
      <c r="K106" s="266">
        <v>30.0</v>
      </c>
      <c r="L106" s="267">
        <f t="shared" si="1"/>
        <v>30</v>
      </c>
    </row>
    <row r="107" ht="14.25" customHeight="1">
      <c r="A107" s="262" t="s">
        <v>313</v>
      </c>
      <c r="B107" s="263">
        <v>236666.0</v>
      </c>
      <c r="C107" s="264">
        <v>45940.0</v>
      </c>
      <c r="D107" s="247">
        <v>0.9051041666666667</v>
      </c>
      <c r="E107" s="265">
        <v>30.0</v>
      </c>
      <c r="F107" s="249"/>
      <c r="G107" s="249"/>
      <c r="H107" s="253" t="s">
        <v>666</v>
      </c>
      <c r="I107" s="253" t="s">
        <v>528</v>
      </c>
      <c r="J107" s="266">
        <v>0.0</v>
      </c>
      <c r="K107" s="266">
        <v>29.0</v>
      </c>
      <c r="L107" s="267">
        <f t="shared" si="1"/>
        <v>29</v>
      </c>
    </row>
    <row r="108" ht="14.25" customHeight="1">
      <c r="A108" s="262" t="s">
        <v>313</v>
      </c>
      <c r="B108" s="263">
        <v>236688.0</v>
      </c>
      <c r="C108" s="264">
        <v>45940.0</v>
      </c>
      <c r="D108" s="247">
        <v>0.919212962962963</v>
      </c>
      <c r="E108" s="265">
        <v>29.0</v>
      </c>
      <c r="F108" s="249"/>
      <c r="G108" s="249"/>
      <c r="H108" s="253" t="s">
        <v>644</v>
      </c>
      <c r="I108" s="253" t="s">
        <v>667</v>
      </c>
      <c r="J108" s="266">
        <v>0.0</v>
      </c>
      <c r="K108" s="266">
        <v>27.7</v>
      </c>
      <c r="L108" s="267">
        <f t="shared" si="1"/>
        <v>27.7</v>
      </c>
    </row>
    <row r="109" ht="14.25" customHeight="1">
      <c r="A109" s="262" t="s">
        <v>313</v>
      </c>
      <c r="B109" s="263">
        <v>236633.0</v>
      </c>
      <c r="C109" s="264">
        <v>45940.0</v>
      </c>
      <c r="D109" s="247">
        <v>0.8531712962962963</v>
      </c>
      <c r="E109" s="265">
        <v>27.7</v>
      </c>
      <c r="F109" s="249"/>
      <c r="G109" s="249"/>
      <c r="H109" s="253" t="s">
        <v>668</v>
      </c>
      <c r="I109" s="253" t="s">
        <v>669</v>
      </c>
      <c r="J109" s="266">
        <v>0.0</v>
      </c>
      <c r="K109" s="266">
        <v>27.5</v>
      </c>
      <c r="L109" s="267">
        <f t="shared" si="1"/>
        <v>27.5</v>
      </c>
    </row>
    <row r="110" ht="14.25" customHeight="1">
      <c r="A110" s="262" t="s">
        <v>313</v>
      </c>
      <c r="B110" s="263">
        <v>236610.0</v>
      </c>
      <c r="C110" s="264">
        <v>45940.0</v>
      </c>
      <c r="D110" s="247">
        <v>0.8261458333333334</v>
      </c>
      <c r="E110" s="265">
        <v>27.5</v>
      </c>
      <c r="F110" s="249"/>
      <c r="G110" s="249"/>
      <c r="H110" s="253" t="s">
        <v>627</v>
      </c>
      <c r="I110" s="253" t="s">
        <v>599</v>
      </c>
      <c r="J110" s="266">
        <v>3.3</v>
      </c>
      <c r="K110" s="266">
        <v>30.8</v>
      </c>
      <c r="L110" s="267">
        <f t="shared" si="1"/>
        <v>27.5</v>
      </c>
    </row>
    <row r="111" ht="14.25" customHeight="1">
      <c r="A111" s="262" t="s">
        <v>313</v>
      </c>
      <c r="B111" s="263">
        <v>236661.0</v>
      </c>
      <c r="C111" s="264">
        <v>45940.0</v>
      </c>
      <c r="D111" s="247">
        <v>0.9031481481481481</v>
      </c>
      <c r="E111" s="265">
        <v>27.5</v>
      </c>
      <c r="F111" s="249"/>
      <c r="G111" s="249"/>
      <c r="H111" s="253" t="s">
        <v>670</v>
      </c>
      <c r="I111" s="253" t="s">
        <v>671</v>
      </c>
      <c r="J111" s="266">
        <v>0.0</v>
      </c>
      <c r="K111" s="266">
        <v>27.36</v>
      </c>
      <c r="L111" s="267">
        <f t="shared" si="1"/>
        <v>27.36</v>
      </c>
    </row>
    <row r="112" ht="14.25" customHeight="1">
      <c r="A112" s="262" t="s">
        <v>313</v>
      </c>
      <c r="B112" s="263">
        <v>236685.0</v>
      </c>
      <c r="C112" s="264">
        <v>45940.0</v>
      </c>
      <c r="D112" s="247">
        <v>0.9069097222222222</v>
      </c>
      <c r="E112" s="265">
        <v>27.36</v>
      </c>
      <c r="F112" s="249"/>
      <c r="G112" s="249"/>
      <c r="H112" s="253" t="s">
        <v>672</v>
      </c>
      <c r="I112" s="253" t="s">
        <v>673</v>
      </c>
      <c r="J112" s="266">
        <v>10.0</v>
      </c>
      <c r="K112" s="266">
        <v>31.9</v>
      </c>
      <c r="L112" s="267">
        <f t="shared" si="1"/>
        <v>21.9</v>
      </c>
    </row>
    <row r="113" ht="14.25" customHeight="1">
      <c r="A113" s="262" t="s">
        <v>313</v>
      </c>
      <c r="B113" s="263">
        <v>236561.0</v>
      </c>
      <c r="C113" s="264">
        <v>45940.0</v>
      </c>
      <c r="D113" s="247">
        <v>0.8714699074074074</v>
      </c>
      <c r="E113" s="265">
        <v>21.9</v>
      </c>
      <c r="F113" s="249"/>
      <c r="G113" s="249"/>
      <c r="H113" s="253" t="s">
        <v>674</v>
      </c>
      <c r="I113" s="253" t="s">
        <v>535</v>
      </c>
      <c r="J113" s="266">
        <v>0.0</v>
      </c>
      <c r="K113" s="266">
        <v>16.5</v>
      </c>
      <c r="L113" s="267">
        <f t="shared" si="1"/>
        <v>16.5</v>
      </c>
    </row>
    <row r="114" ht="14.25" customHeight="1">
      <c r="A114" s="262" t="s">
        <v>313</v>
      </c>
      <c r="B114" s="263">
        <v>236655.0</v>
      </c>
      <c r="C114" s="264">
        <v>45940.0</v>
      </c>
      <c r="D114" s="247">
        <v>0.9185763888888889</v>
      </c>
      <c r="E114" s="265">
        <v>16.5</v>
      </c>
      <c r="F114" s="249"/>
      <c r="G114" s="249"/>
      <c r="H114" s="253" t="s">
        <v>616</v>
      </c>
      <c r="I114" s="253" t="s">
        <v>675</v>
      </c>
      <c r="J114" s="266">
        <v>0.0</v>
      </c>
      <c r="K114" s="266">
        <v>15.0</v>
      </c>
      <c r="L114" s="267">
        <f t="shared" si="1"/>
        <v>15</v>
      </c>
    </row>
    <row r="115" ht="14.25" customHeight="1">
      <c r="A115" s="262" t="s">
        <v>313</v>
      </c>
      <c r="B115" s="263">
        <v>236623.0</v>
      </c>
      <c r="C115" s="264">
        <v>45940.0</v>
      </c>
      <c r="D115" s="247">
        <v>0.8439930555555556</v>
      </c>
      <c r="E115" s="265">
        <v>15.0</v>
      </c>
      <c r="F115" s="249"/>
      <c r="G115" s="249"/>
      <c r="H115" s="253" t="s">
        <v>676</v>
      </c>
      <c r="I115" s="253" t="s">
        <v>677</v>
      </c>
      <c r="J115" s="266">
        <v>0.0</v>
      </c>
      <c r="K115" s="266">
        <v>8.0</v>
      </c>
      <c r="L115" s="267">
        <f t="shared" si="1"/>
        <v>8</v>
      </c>
    </row>
    <row r="116" ht="14.25" customHeight="1">
      <c r="A116" s="262" t="s">
        <v>313</v>
      </c>
      <c r="B116" s="263">
        <v>236530.0</v>
      </c>
      <c r="C116" s="264">
        <v>45940.0</v>
      </c>
      <c r="D116" s="247">
        <v>0.7255671296296297</v>
      </c>
      <c r="E116" s="265">
        <v>8.0</v>
      </c>
      <c r="F116" s="249"/>
      <c r="G116" s="249"/>
      <c r="H116" s="253" t="s">
        <v>678</v>
      </c>
      <c r="I116" s="253" t="s">
        <v>679</v>
      </c>
      <c r="J116" s="266">
        <v>0.0</v>
      </c>
      <c r="K116" s="266">
        <v>8.0</v>
      </c>
      <c r="L116" s="267">
        <f t="shared" si="1"/>
        <v>8</v>
      </c>
    </row>
    <row r="117" ht="14.25" customHeight="1">
      <c r="A117" s="262" t="s">
        <v>313</v>
      </c>
      <c r="B117" s="263">
        <v>236687.0</v>
      </c>
      <c r="C117" s="264">
        <v>45940.0</v>
      </c>
      <c r="D117" s="247">
        <v>0.9080439814814815</v>
      </c>
      <c r="E117" s="265">
        <v>8.0</v>
      </c>
      <c r="F117" s="249"/>
      <c r="G117" s="249"/>
      <c r="H117" s="253" t="s">
        <v>680</v>
      </c>
      <c r="I117" s="253" t="s">
        <v>681</v>
      </c>
      <c r="J117" s="266">
        <v>0.0</v>
      </c>
      <c r="K117" s="266">
        <v>7.85</v>
      </c>
      <c r="L117" s="267">
        <f t="shared" si="1"/>
        <v>7.85</v>
      </c>
    </row>
    <row r="118" ht="14.25" customHeight="1">
      <c r="A118" s="262" t="s">
        <v>313</v>
      </c>
      <c r="B118" s="263">
        <v>236693.0</v>
      </c>
      <c r="C118" s="264">
        <v>45940.0</v>
      </c>
      <c r="D118" s="247">
        <v>0.9632175925925925</v>
      </c>
      <c r="E118" s="265">
        <v>7.85</v>
      </c>
      <c r="F118" s="249"/>
      <c r="G118" s="249"/>
      <c r="H118" s="242"/>
      <c r="I118" s="242"/>
      <c r="L118" s="239">
        <f>SUM(L2:L117)</f>
        <v>27610.39</v>
      </c>
    </row>
    <row r="119" ht="14.25" customHeight="1">
      <c r="A119" s="269" t="s">
        <v>313</v>
      </c>
      <c r="B119" s="270">
        <v>236593.0</v>
      </c>
      <c r="C119" s="271">
        <v>45940.0</v>
      </c>
      <c r="D119" s="272">
        <v>0.9240046296296296</v>
      </c>
      <c r="E119" s="265">
        <v>-48.3</v>
      </c>
      <c r="F119" s="249"/>
      <c r="G119" s="249"/>
      <c r="H119" s="242"/>
      <c r="I119" s="242"/>
      <c r="L119" s="239">
        <f>L118-E121</f>
        <v>-50</v>
      </c>
    </row>
    <row r="120" ht="14.25" customHeight="1">
      <c r="A120" s="269" t="s">
        <v>313</v>
      </c>
      <c r="B120" s="270">
        <v>236593.0</v>
      </c>
      <c r="C120" s="271">
        <v>45940.0</v>
      </c>
      <c r="D120" s="272">
        <v>0.9240162037037037</v>
      </c>
      <c r="E120" s="265">
        <v>-85.0</v>
      </c>
      <c r="F120" s="249"/>
      <c r="G120" s="249"/>
      <c r="H120" s="242"/>
      <c r="I120" s="242"/>
    </row>
    <row r="121" ht="14.25" customHeight="1">
      <c r="E121" s="273">
        <f>SUM(E2:E120)</f>
        <v>27660.39</v>
      </c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H$1:$L$119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86"/>
    <col customWidth="1" min="9" max="9" width="13.0"/>
    <col customWidth="1" min="10" max="14" width="8.86"/>
    <col customWidth="1" min="15" max="26" width="8.71"/>
  </cols>
  <sheetData>
    <row r="1" ht="10.5" customHeight="1">
      <c r="A1" s="252" t="s">
        <v>308</v>
      </c>
      <c r="B1" s="252" t="s">
        <v>309</v>
      </c>
      <c r="C1" s="252" t="s">
        <v>114</v>
      </c>
      <c r="D1" s="274" t="s">
        <v>310</v>
      </c>
      <c r="E1" s="274" t="s">
        <v>174</v>
      </c>
      <c r="F1" s="274" t="s">
        <v>682</v>
      </c>
      <c r="G1" s="275"/>
      <c r="H1" s="275"/>
      <c r="I1" s="253" t="s">
        <v>114</v>
      </c>
      <c r="J1" s="253" t="s">
        <v>305</v>
      </c>
      <c r="K1" s="253" t="s">
        <v>306</v>
      </c>
      <c r="L1" s="253" t="s">
        <v>9</v>
      </c>
      <c r="M1" s="275" t="s">
        <v>307</v>
      </c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</row>
    <row r="2" ht="10.5" customHeight="1">
      <c r="A2" s="262" t="s">
        <v>313</v>
      </c>
      <c r="B2" s="263">
        <v>237075.0</v>
      </c>
      <c r="C2" s="264">
        <v>45942.0</v>
      </c>
      <c r="D2" s="276">
        <v>0.7576967592592593</v>
      </c>
      <c r="E2" s="265">
        <v>350.0</v>
      </c>
      <c r="F2" s="274"/>
      <c r="G2" s="275"/>
      <c r="H2" s="275"/>
      <c r="I2" s="253" t="s">
        <v>683</v>
      </c>
      <c r="J2" s="253" t="s">
        <v>684</v>
      </c>
      <c r="K2" s="266">
        <v>0.0</v>
      </c>
      <c r="L2" s="266">
        <v>350.0</v>
      </c>
      <c r="M2" s="267">
        <f t="shared" ref="M2:M126" si="1">L2-K2</f>
        <v>350</v>
      </c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</row>
    <row r="3" ht="10.5" customHeight="1">
      <c r="A3" s="262" t="s">
        <v>313</v>
      </c>
      <c r="B3" s="263">
        <v>237075.0</v>
      </c>
      <c r="C3" s="264">
        <v>45942.0</v>
      </c>
      <c r="D3" s="276">
        <v>0.7577777777777778</v>
      </c>
      <c r="E3" s="249">
        <v>326.8</v>
      </c>
      <c r="F3" s="277">
        <v>23.2</v>
      </c>
      <c r="G3" s="275"/>
      <c r="H3" s="275"/>
      <c r="I3" s="253" t="s">
        <v>683</v>
      </c>
      <c r="J3" s="253" t="s">
        <v>685</v>
      </c>
      <c r="K3" s="266">
        <v>0.0</v>
      </c>
      <c r="L3" s="266">
        <v>350.0</v>
      </c>
      <c r="M3" s="268">
        <f t="shared" si="1"/>
        <v>350</v>
      </c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</row>
    <row r="4" ht="10.5" customHeight="1">
      <c r="A4" s="262" t="s">
        <v>313</v>
      </c>
      <c r="B4" s="263">
        <v>237065.0</v>
      </c>
      <c r="C4" s="264">
        <v>45942.0</v>
      </c>
      <c r="D4" s="276">
        <v>0.7728472222222222</v>
      </c>
      <c r="E4" s="249">
        <v>241.2</v>
      </c>
      <c r="F4" s="274"/>
      <c r="G4" s="275"/>
      <c r="H4" s="275"/>
      <c r="I4" s="253" t="s">
        <v>686</v>
      </c>
      <c r="J4" s="253" t="s">
        <v>687</v>
      </c>
      <c r="K4" s="266">
        <v>0.0</v>
      </c>
      <c r="L4" s="266">
        <v>265.0</v>
      </c>
      <c r="M4" s="268">
        <f t="shared" si="1"/>
        <v>265</v>
      </c>
      <c r="N4" s="268">
        <f>M4-E4</f>
        <v>23.8</v>
      </c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</row>
    <row r="5" ht="10.5" customHeight="1">
      <c r="A5" s="262" t="s">
        <v>313</v>
      </c>
      <c r="B5" s="263">
        <v>237051.0</v>
      </c>
      <c r="C5" s="264">
        <v>45942.0</v>
      </c>
      <c r="D5" s="276">
        <v>0.589386574074074</v>
      </c>
      <c r="E5" s="249">
        <v>1.09</v>
      </c>
      <c r="F5" s="274"/>
      <c r="G5" s="275"/>
      <c r="H5" s="275"/>
      <c r="I5" s="253" t="s">
        <v>688</v>
      </c>
      <c r="J5" s="253" t="s">
        <v>689</v>
      </c>
      <c r="K5" s="266">
        <v>9.99</v>
      </c>
      <c r="L5" s="266">
        <v>10.0</v>
      </c>
      <c r="M5" s="268">
        <f t="shared" si="1"/>
        <v>0.01</v>
      </c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</row>
    <row r="6" ht="10.5" customHeight="1">
      <c r="A6" s="262" t="s">
        <v>313</v>
      </c>
      <c r="B6" s="263">
        <v>237140.0</v>
      </c>
      <c r="C6" s="264">
        <v>45942.0</v>
      </c>
      <c r="D6" s="276">
        <v>0.8989699074074075</v>
      </c>
      <c r="E6" s="265">
        <v>1320.3</v>
      </c>
      <c r="F6" s="274"/>
      <c r="G6" s="275"/>
      <c r="H6" s="275"/>
      <c r="I6" s="253" t="s">
        <v>690</v>
      </c>
      <c r="J6" s="253" t="s">
        <v>691</v>
      </c>
      <c r="K6" s="266">
        <v>180.0</v>
      </c>
      <c r="L6" s="266">
        <v>1500.3</v>
      </c>
      <c r="M6" s="267">
        <f t="shared" si="1"/>
        <v>1320.3</v>
      </c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</row>
    <row r="7" ht="10.5" customHeight="1">
      <c r="A7" s="262" t="s">
        <v>313</v>
      </c>
      <c r="B7" s="263">
        <v>237164.0</v>
      </c>
      <c r="C7" s="264">
        <v>45942.0</v>
      </c>
      <c r="D7" s="276">
        <v>0.9258217592592592</v>
      </c>
      <c r="E7" s="265">
        <v>1187.66</v>
      </c>
      <c r="F7" s="274"/>
      <c r="G7" s="275"/>
      <c r="H7" s="275"/>
      <c r="I7" s="253" t="s">
        <v>692</v>
      </c>
      <c r="J7" s="253" t="s">
        <v>693</v>
      </c>
      <c r="K7" s="266">
        <v>0.0</v>
      </c>
      <c r="L7" s="266">
        <v>1187.66</v>
      </c>
      <c r="M7" s="267">
        <f t="shared" si="1"/>
        <v>1187.66</v>
      </c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</row>
    <row r="8" ht="10.5" customHeight="1">
      <c r="A8" s="262" t="s">
        <v>313</v>
      </c>
      <c r="B8" s="263">
        <v>237060.0</v>
      </c>
      <c r="C8" s="264">
        <v>45942.0</v>
      </c>
      <c r="D8" s="276">
        <v>0.7118402777777778</v>
      </c>
      <c r="E8" s="265">
        <v>1018.46</v>
      </c>
      <c r="F8" s="274"/>
      <c r="G8" s="275"/>
      <c r="H8" s="275"/>
      <c r="I8" s="253" t="s">
        <v>694</v>
      </c>
      <c r="J8" s="253" t="s">
        <v>695</v>
      </c>
      <c r="K8" s="266">
        <v>0.0</v>
      </c>
      <c r="L8" s="266">
        <v>1018.46</v>
      </c>
      <c r="M8" s="267">
        <f t="shared" si="1"/>
        <v>1018.46</v>
      </c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</row>
    <row r="9" ht="10.5" customHeight="1">
      <c r="A9" s="262" t="s">
        <v>313</v>
      </c>
      <c r="B9" s="263">
        <v>237172.0</v>
      </c>
      <c r="C9" s="264">
        <v>45942.0</v>
      </c>
      <c r="D9" s="276">
        <v>0.9561342592592592</v>
      </c>
      <c r="E9" s="265">
        <v>665.35</v>
      </c>
      <c r="F9" s="274"/>
      <c r="G9" s="275"/>
      <c r="H9" s="275"/>
      <c r="I9" s="253" t="s">
        <v>696</v>
      </c>
      <c r="J9" s="253" t="s">
        <v>697</v>
      </c>
      <c r="K9" s="266">
        <v>0.0</v>
      </c>
      <c r="L9" s="266">
        <v>665.35</v>
      </c>
      <c r="M9" s="267">
        <f t="shared" si="1"/>
        <v>665.35</v>
      </c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</row>
    <row r="10" ht="10.5" customHeight="1">
      <c r="A10" s="262" t="s">
        <v>313</v>
      </c>
      <c r="B10" s="263">
        <v>237092.0</v>
      </c>
      <c r="C10" s="264">
        <v>45942.0</v>
      </c>
      <c r="D10" s="276">
        <v>0.7899305555555556</v>
      </c>
      <c r="E10" s="265">
        <v>617.4</v>
      </c>
      <c r="F10" s="274"/>
      <c r="G10" s="275"/>
      <c r="H10" s="275"/>
      <c r="I10" s="253" t="s">
        <v>698</v>
      </c>
      <c r="J10" s="253" t="s">
        <v>699</v>
      </c>
      <c r="K10" s="266">
        <v>40.0</v>
      </c>
      <c r="L10" s="266">
        <v>657.4</v>
      </c>
      <c r="M10" s="267">
        <f t="shared" si="1"/>
        <v>617.4</v>
      </c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</row>
    <row r="11" ht="10.5" customHeight="1">
      <c r="A11" s="262" t="s">
        <v>313</v>
      </c>
      <c r="B11" s="263">
        <v>237169.0</v>
      </c>
      <c r="C11" s="264">
        <v>45942.0</v>
      </c>
      <c r="D11" s="276">
        <v>0.9613078703703704</v>
      </c>
      <c r="E11" s="265">
        <v>614.0</v>
      </c>
      <c r="F11" s="274"/>
      <c r="G11" s="275"/>
      <c r="H11" s="275"/>
      <c r="I11" s="253" t="s">
        <v>700</v>
      </c>
      <c r="J11" s="253" t="s">
        <v>701</v>
      </c>
      <c r="K11" s="266">
        <v>0.0</v>
      </c>
      <c r="L11" s="266">
        <v>614.0</v>
      </c>
      <c r="M11" s="267">
        <f t="shared" si="1"/>
        <v>614</v>
      </c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</row>
    <row r="12" ht="10.5" customHeight="1">
      <c r="A12" s="262" t="s">
        <v>313</v>
      </c>
      <c r="B12" s="263">
        <v>237150.0</v>
      </c>
      <c r="C12" s="264">
        <v>45942.0</v>
      </c>
      <c r="D12" s="276">
        <v>0.8852893518518519</v>
      </c>
      <c r="E12" s="265">
        <v>451.3</v>
      </c>
      <c r="F12" s="274"/>
      <c r="G12" s="275"/>
      <c r="H12" s="275"/>
      <c r="I12" s="253" t="s">
        <v>702</v>
      </c>
      <c r="J12" s="253" t="s">
        <v>703</v>
      </c>
      <c r="K12" s="266">
        <v>48.7</v>
      </c>
      <c r="L12" s="266">
        <v>500.0</v>
      </c>
      <c r="M12" s="267">
        <f t="shared" si="1"/>
        <v>451.3</v>
      </c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</row>
    <row r="13" ht="10.5" customHeight="1">
      <c r="A13" s="262" t="s">
        <v>313</v>
      </c>
      <c r="B13" s="263">
        <v>237105.0</v>
      </c>
      <c r="C13" s="264">
        <v>45942.0</v>
      </c>
      <c r="D13" s="276">
        <v>0.8223379629629629</v>
      </c>
      <c r="E13" s="265">
        <v>447.19</v>
      </c>
      <c r="F13" s="274"/>
      <c r="G13" s="275"/>
      <c r="H13" s="275"/>
      <c r="I13" s="253" t="s">
        <v>704</v>
      </c>
      <c r="J13" s="253" t="s">
        <v>705</v>
      </c>
      <c r="K13" s="266">
        <v>0.0</v>
      </c>
      <c r="L13" s="266">
        <v>447.19</v>
      </c>
      <c r="M13" s="267">
        <f t="shared" si="1"/>
        <v>447.19</v>
      </c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</row>
    <row r="14" ht="10.5" customHeight="1">
      <c r="A14" s="262" t="s">
        <v>313</v>
      </c>
      <c r="B14" s="263">
        <v>237161.0</v>
      </c>
      <c r="C14" s="264">
        <v>45942.0</v>
      </c>
      <c r="D14" s="276">
        <v>0.9247453703703704</v>
      </c>
      <c r="E14" s="265">
        <v>426.5</v>
      </c>
      <c r="F14" s="274"/>
      <c r="G14" s="275"/>
      <c r="H14" s="275"/>
      <c r="I14" s="253" t="s">
        <v>692</v>
      </c>
      <c r="J14" s="253" t="s">
        <v>706</v>
      </c>
      <c r="K14" s="266">
        <v>23.5</v>
      </c>
      <c r="L14" s="266">
        <v>450.0</v>
      </c>
      <c r="M14" s="267">
        <f t="shared" si="1"/>
        <v>426.5</v>
      </c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</row>
    <row r="15" ht="10.5" customHeight="1">
      <c r="A15" s="262" t="s">
        <v>313</v>
      </c>
      <c r="B15" s="263">
        <v>237071.0</v>
      </c>
      <c r="C15" s="264">
        <v>45942.0</v>
      </c>
      <c r="D15" s="276">
        <v>0.7089814814814814</v>
      </c>
      <c r="E15" s="265">
        <v>413.7</v>
      </c>
      <c r="F15" s="274"/>
      <c r="G15" s="275"/>
      <c r="H15" s="275"/>
      <c r="I15" s="253" t="s">
        <v>707</v>
      </c>
      <c r="J15" s="253" t="s">
        <v>708</v>
      </c>
      <c r="K15" s="266">
        <v>0.0</v>
      </c>
      <c r="L15" s="266">
        <v>413.7</v>
      </c>
      <c r="M15" s="267">
        <f t="shared" si="1"/>
        <v>413.7</v>
      </c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</row>
    <row r="16" ht="10.5" customHeight="1">
      <c r="A16" s="262" t="s">
        <v>313</v>
      </c>
      <c r="B16" s="263">
        <v>237155.0</v>
      </c>
      <c r="C16" s="264">
        <v>45942.0</v>
      </c>
      <c r="D16" s="276">
        <v>0.8966898148148148</v>
      </c>
      <c r="E16" s="265">
        <v>382.8</v>
      </c>
      <c r="F16" s="274"/>
      <c r="G16" s="275"/>
      <c r="H16" s="275"/>
      <c r="I16" s="253" t="s">
        <v>709</v>
      </c>
      <c r="J16" s="253" t="s">
        <v>710</v>
      </c>
      <c r="K16" s="266">
        <v>57.42</v>
      </c>
      <c r="L16" s="266">
        <v>440.22</v>
      </c>
      <c r="M16" s="267">
        <f t="shared" si="1"/>
        <v>382.8</v>
      </c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</row>
    <row r="17" ht="10.5" customHeight="1">
      <c r="A17" s="262" t="s">
        <v>313</v>
      </c>
      <c r="B17" s="263">
        <v>237134.0</v>
      </c>
      <c r="C17" s="264">
        <v>45942.0</v>
      </c>
      <c r="D17" s="276">
        <v>0.8824537037037037</v>
      </c>
      <c r="E17" s="265">
        <v>354.8</v>
      </c>
      <c r="F17" s="274"/>
      <c r="G17" s="275"/>
      <c r="H17" s="275"/>
      <c r="I17" s="253" t="s">
        <v>711</v>
      </c>
      <c r="J17" s="253" t="s">
        <v>712</v>
      </c>
      <c r="K17" s="266">
        <v>53.22</v>
      </c>
      <c r="L17" s="266">
        <v>408.02</v>
      </c>
      <c r="M17" s="267">
        <f t="shared" si="1"/>
        <v>354.8</v>
      </c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</row>
    <row r="18" ht="10.5" customHeight="1">
      <c r="A18" s="262" t="s">
        <v>313</v>
      </c>
      <c r="B18" s="263">
        <v>237141.0</v>
      </c>
      <c r="C18" s="264">
        <v>45942.0</v>
      </c>
      <c r="D18" s="276">
        <v>0.8771875</v>
      </c>
      <c r="E18" s="265">
        <v>326.8</v>
      </c>
      <c r="F18" s="274"/>
      <c r="G18" s="275"/>
      <c r="H18" s="275"/>
      <c r="I18" s="253" t="s">
        <v>713</v>
      </c>
      <c r="J18" s="253" t="s">
        <v>714</v>
      </c>
      <c r="K18" s="266">
        <v>39.22</v>
      </c>
      <c r="L18" s="266">
        <v>366.02</v>
      </c>
      <c r="M18" s="267">
        <f t="shared" si="1"/>
        <v>326.8</v>
      </c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</row>
    <row r="19" ht="10.5" customHeight="1">
      <c r="A19" s="262" t="s">
        <v>313</v>
      </c>
      <c r="B19" s="263">
        <v>237085.0</v>
      </c>
      <c r="C19" s="264">
        <v>45942.0</v>
      </c>
      <c r="D19" s="276">
        <v>0.7592824074074074</v>
      </c>
      <c r="E19" s="265">
        <v>323.7</v>
      </c>
      <c r="F19" s="274"/>
      <c r="G19" s="275"/>
      <c r="H19" s="275"/>
      <c r="I19" s="253" t="s">
        <v>715</v>
      </c>
      <c r="J19" s="253" t="s">
        <v>716</v>
      </c>
      <c r="K19" s="266">
        <v>36.3</v>
      </c>
      <c r="L19" s="266">
        <v>360.0</v>
      </c>
      <c r="M19" s="267">
        <f t="shared" si="1"/>
        <v>323.7</v>
      </c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</row>
    <row r="20" ht="10.5" customHeight="1">
      <c r="A20" s="262" t="s">
        <v>313</v>
      </c>
      <c r="B20" s="263">
        <v>237103.0</v>
      </c>
      <c r="C20" s="264">
        <v>45942.0</v>
      </c>
      <c r="D20" s="276">
        <v>0.8102893518518518</v>
      </c>
      <c r="E20" s="265">
        <v>317.9</v>
      </c>
      <c r="F20" s="274"/>
      <c r="G20" s="275"/>
      <c r="H20" s="275"/>
      <c r="I20" s="253" t="s">
        <v>717</v>
      </c>
      <c r="J20" s="253" t="s">
        <v>718</v>
      </c>
      <c r="K20" s="266">
        <v>63.58</v>
      </c>
      <c r="L20" s="266">
        <v>381.48</v>
      </c>
      <c r="M20" s="267">
        <f t="shared" si="1"/>
        <v>317.9</v>
      </c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</row>
    <row r="21" ht="10.5" customHeight="1">
      <c r="A21" s="262" t="s">
        <v>313</v>
      </c>
      <c r="B21" s="263">
        <v>237193.0</v>
      </c>
      <c r="C21" s="264">
        <v>45942.0</v>
      </c>
      <c r="D21" s="276">
        <v>0.9535300925925926</v>
      </c>
      <c r="E21" s="265">
        <v>314.2</v>
      </c>
      <c r="F21" s="274"/>
      <c r="G21" s="275"/>
      <c r="H21" s="275"/>
      <c r="I21" s="253" t="s">
        <v>719</v>
      </c>
      <c r="J21" s="253" t="s">
        <v>720</v>
      </c>
      <c r="K21" s="266">
        <v>37.7</v>
      </c>
      <c r="L21" s="266">
        <v>351.9</v>
      </c>
      <c r="M21" s="267">
        <f t="shared" si="1"/>
        <v>314.2</v>
      </c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</row>
    <row r="22" ht="10.5" customHeight="1">
      <c r="A22" s="262" t="s">
        <v>313</v>
      </c>
      <c r="B22" s="263">
        <v>237053.0</v>
      </c>
      <c r="C22" s="264">
        <v>45942.0</v>
      </c>
      <c r="D22" s="276">
        <v>0.6353009259259259</v>
      </c>
      <c r="E22" s="265">
        <v>312.1</v>
      </c>
      <c r="F22" s="274"/>
      <c r="G22" s="275"/>
      <c r="H22" s="275"/>
      <c r="I22" s="253" t="s">
        <v>721</v>
      </c>
      <c r="J22" s="253" t="s">
        <v>722</v>
      </c>
      <c r="K22" s="266">
        <v>27.9</v>
      </c>
      <c r="L22" s="266">
        <v>340.0</v>
      </c>
      <c r="M22" s="267">
        <f t="shared" si="1"/>
        <v>312.1</v>
      </c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</row>
    <row r="23" ht="10.5" customHeight="1">
      <c r="A23" s="262" t="s">
        <v>313</v>
      </c>
      <c r="B23" s="263">
        <v>237119.0</v>
      </c>
      <c r="C23" s="264">
        <v>45942.0</v>
      </c>
      <c r="D23" s="276">
        <v>0.822488425925926</v>
      </c>
      <c r="E23" s="265">
        <v>293.9</v>
      </c>
      <c r="F23" s="274"/>
      <c r="G23" s="275"/>
      <c r="H23" s="275"/>
      <c r="I23" s="253" t="s">
        <v>723</v>
      </c>
      <c r="J23" s="253" t="s">
        <v>724</v>
      </c>
      <c r="K23" s="266">
        <v>0.0</v>
      </c>
      <c r="L23" s="266">
        <v>293.9</v>
      </c>
      <c r="M23" s="267">
        <f t="shared" si="1"/>
        <v>293.9</v>
      </c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</row>
    <row r="24" ht="10.5" customHeight="1">
      <c r="A24" s="262" t="s">
        <v>313</v>
      </c>
      <c r="B24" s="263">
        <v>237081.0</v>
      </c>
      <c r="C24" s="264">
        <v>45942.0</v>
      </c>
      <c r="D24" s="276">
        <v>0.7464814814814815</v>
      </c>
      <c r="E24" s="265">
        <v>278.0</v>
      </c>
      <c r="F24" s="274"/>
      <c r="G24" s="275"/>
      <c r="H24" s="275"/>
      <c r="I24" s="253" t="s">
        <v>725</v>
      </c>
      <c r="J24" s="253" t="s">
        <v>726</v>
      </c>
      <c r="K24" s="266">
        <v>41.7</v>
      </c>
      <c r="L24" s="266">
        <v>319.7</v>
      </c>
      <c r="M24" s="267">
        <f t="shared" si="1"/>
        <v>278</v>
      </c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</row>
    <row r="25" ht="10.5" customHeight="1">
      <c r="A25" s="262" t="s">
        <v>313</v>
      </c>
      <c r="B25" s="263">
        <v>237137.0</v>
      </c>
      <c r="C25" s="264">
        <v>45942.0</v>
      </c>
      <c r="D25" s="276">
        <v>0.8775810185185186</v>
      </c>
      <c r="E25" s="265">
        <v>269.4</v>
      </c>
      <c r="F25" s="274"/>
      <c r="G25" s="275"/>
      <c r="H25" s="275"/>
      <c r="I25" s="253" t="s">
        <v>727</v>
      </c>
      <c r="J25" s="253" t="s">
        <v>728</v>
      </c>
      <c r="K25" s="266">
        <v>10.0</v>
      </c>
      <c r="L25" s="266">
        <v>279.4</v>
      </c>
      <c r="M25" s="267">
        <f t="shared" si="1"/>
        <v>269.4</v>
      </c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</row>
    <row r="26" ht="10.5" customHeight="1">
      <c r="A26" s="262" t="s">
        <v>313</v>
      </c>
      <c r="B26" s="263">
        <v>237124.0</v>
      </c>
      <c r="C26" s="264">
        <v>45942.0</v>
      </c>
      <c r="D26" s="276">
        <v>0.8462962962962963</v>
      </c>
      <c r="E26" s="265">
        <v>266.9</v>
      </c>
      <c r="F26" s="274"/>
      <c r="G26" s="275"/>
      <c r="H26" s="275"/>
      <c r="I26" s="253" t="s">
        <v>729</v>
      </c>
      <c r="J26" s="253" t="s">
        <v>730</v>
      </c>
      <c r="K26" s="266">
        <v>40.04</v>
      </c>
      <c r="L26" s="266">
        <v>306.94</v>
      </c>
      <c r="M26" s="267">
        <f t="shared" si="1"/>
        <v>266.9</v>
      </c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</row>
    <row r="27" ht="10.5" customHeight="1">
      <c r="A27" s="262" t="s">
        <v>313</v>
      </c>
      <c r="B27" s="263">
        <v>237048.0</v>
      </c>
      <c r="C27" s="264">
        <v>45942.0</v>
      </c>
      <c r="D27" s="276">
        <v>0.6415740740740741</v>
      </c>
      <c r="E27" s="265">
        <v>266.5</v>
      </c>
      <c r="F27" s="274"/>
      <c r="G27" s="275"/>
      <c r="H27" s="275"/>
      <c r="I27" s="253" t="s">
        <v>731</v>
      </c>
      <c r="J27" s="253" t="s">
        <v>732</v>
      </c>
      <c r="K27" s="266">
        <v>31.98</v>
      </c>
      <c r="L27" s="266">
        <v>298.48</v>
      </c>
      <c r="M27" s="267">
        <f t="shared" si="1"/>
        <v>266.5</v>
      </c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</row>
    <row r="28" ht="10.5" customHeight="1">
      <c r="A28" s="262" t="s">
        <v>313</v>
      </c>
      <c r="B28" s="263">
        <v>237131.0</v>
      </c>
      <c r="C28" s="264">
        <v>45942.0</v>
      </c>
      <c r="D28" s="276">
        <v>0.8755092592592593</v>
      </c>
      <c r="E28" s="265">
        <v>264.9</v>
      </c>
      <c r="F28" s="274"/>
      <c r="G28" s="275"/>
      <c r="H28" s="275"/>
      <c r="I28" s="253" t="s">
        <v>733</v>
      </c>
      <c r="J28" s="253" t="s">
        <v>734</v>
      </c>
      <c r="K28" s="266">
        <v>31.79</v>
      </c>
      <c r="L28" s="266">
        <v>296.69</v>
      </c>
      <c r="M28" s="267">
        <f t="shared" si="1"/>
        <v>264.9</v>
      </c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</row>
    <row r="29" ht="10.5" customHeight="1">
      <c r="A29" s="262" t="s">
        <v>313</v>
      </c>
      <c r="B29" s="263">
        <v>237181.0</v>
      </c>
      <c r="C29" s="264">
        <v>45942.0</v>
      </c>
      <c r="D29" s="276">
        <v>0.9371990740740741</v>
      </c>
      <c r="E29" s="265">
        <v>263.1</v>
      </c>
      <c r="F29" s="274"/>
      <c r="G29" s="275"/>
      <c r="H29" s="275"/>
      <c r="I29" s="253" t="s">
        <v>735</v>
      </c>
      <c r="J29" s="253" t="s">
        <v>736</v>
      </c>
      <c r="K29" s="266">
        <v>31.57</v>
      </c>
      <c r="L29" s="266">
        <v>294.67</v>
      </c>
      <c r="M29" s="267">
        <f t="shared" si="1"/>
        <v>263.1</v>
      </c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</row>
    <row r="30" ht="10.5" customHeight="1">
      <c r="A30" s="262" t="s">
        <v>313</v>
      </c>
      <c r="B30" s="263">
        <v>237122.0</v>
      </c>
      <c r="C30" s="264">
        <v>45942.0</v>
      </c>
      <c r="D30" s="276">
        <v>0.9261458333333333</v>
      </c>
      <c r="E30" s="265">
        <v>257.9</v>
      </c>
      <c r="F30" s="274"/>
      <c r="G30" s="275"/>
      <c r="H30" s="275"/>
      <c r="I30" s="253" t="s">
        <v>737</v>
      </c>
      <c r="J30" s="253" t="s">
        <v>738</v>
      </c>
      <c r="K30" s="266">
        <v>30.95</v>
      </c>
      <c r="L30" s="266">
        <v>288.85</v>
      </c>
      <c r="M30" s="267">
        <f t="shared" si="1"/>
        <v>257.9</v>
      </c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</row>
    <row r="31" ht="10.5" customHeight="1">
      <c r="A31" s="262" t="s">
        <v>313</v>
      </c>
      <c r="B31" s="263">
        <v>237195.0</v>
      </c>
      <c r="C31" s="264">
        <v>45942.0</v>
      </c>
      <c r="D31" s="276">
        <v>0.961099537037037</v>
      </c>
      <c r="E31" s="265">
        <v>255.7</v>
      </c>
      <c r="F31" s="274"/>
      <c r="G31" s="275"/>
      <c r="H31" s="275"/>
      <c r="I31" s="253" t="s">
        <v>739</v>
      </c>
      <c r="J31" s="253" t="s">
        <v>740</v>
      </c>
      <c r="K31" s="266">
        <v>0.0</v>
      </c>
      <c r="L31" s="266">
        <v>255.7</v>
      </c>
      <c r="M31" s="267">
        <f t="shared" si="1"/>
        <v>255.7</v>
      </c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</row>
    <row r="32" ht="10.5" customHeight="1">
      <c r="A32" s="262" t="s">
        <v>313</v>
      </c>
      <c r="B32" s="263">
        <v>237109.0</v>
      </c>
      <c r="C32" s="264">
        <v>45942.0</v>
      </c>
      <c r="D32" s="276">
        <v>0.8664236111111111</v>
      </c>
      <c r="E32" s="265">
        <v>253.4</v>
      </c>
      <c r="F32" s="274"/>
      <c r="G32" s="275"/>
      <c r="H32" s="275"/>
      <c r="I32" s="253" t="s">
        <v>741</v>
      </c>
      <c r="J32" s="253" t="s">
        <v>742</v>
      </c>
      <c r="K32" s="266">
        <v>30.41</v>
      </c>
      <c r="L32" s="266">
        <v>283.81</v>
      </c>
      <c r="M32" s="267">
        <f t="shared" si="1"/>
        <v>253.4</v>
      </c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</row>
    <row r="33" ht="10.5" customHeight="1">
      <c r="A33" s="262" t="s">
        <v>313</v>
      </c>
      <c r="B33" s="263">
        <v>237158.0</v>
      </c>
      <c r="C33" s="264">
        <v>45942.0</v>
      </c>
      <c r="D33" s="276">
        <v>0.8954398148148148</v>
      </c>
      <c r="E33" s="265">
        <v>246.4</v>
      </c>
      <c r="F33" s="274"/>
      <c r="G33" s="275"/>
      <c r="H33" s="275"/>
      <c r="I33" s="253" t="s">
        <v>743</v>
      </c>
      <c r="J33" s="253" t="s">
        <v>744</v>
      </c>
      <c r="K33" s="266">
        <v>53.6</v>
      </c>
      <c r="L33" s="266">
        <v>300.0</v>
      </c>
      <c r="M33" s="267">
        <f t="shared" si="1"/>
        <v>246.4</v>
      </c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</row>
    <row r="34" ht="10.5" customHeight="1">
      <c r="A34" s="262" t="s">
        <v>313</v>
      </c>
      <c r="B34" s="263">
        <v>237055.0</v>
      </c>
      <c r="C34" s="264">
        <v>45942.0</v>
      </c>
      <c r="D34" s="276">
        <v>0.6651851851851852</v>
      </c>
      <c r="E34" s="265">
        <v>246.07</v>
      </c>
      <c r="F34" s="274"/>
      <c r="G34" s="275"/>
      <c r="H34" s="275"/>
      <c r="I34" s="253" t="s">
        <v>745</v>
      </c>
      <c r="J34" s="253" t="s">
        <v>746</v>
      </c>
      <c r="K34" s="266">
        <v>0.0</v>
      </c>
      <c r="L34" s="266">
        <v>246.07</v>
      </c>
      <c r="M34" s="267">
        <f t="shared" si="1"/>
        <v>246.07</v>
      </c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</row>
    <row r="35" ht="10.5" customHeight="1">
      <c r="A35" s="262" t="s">
        <v>313</v>
      </c>
      <c r="B35" s="263">
        <v>237185.0</v>
      </c>
      <c r="C35" s="264">
        <v>45942.0</v>
      </c>
      <c r="D35" s="276">
        <v>0.9633217592592592</v>
      </c>
      <c r="E35" s="265">
        <v>225.2</v>
      </c>
      <c r="F35" s="274"/>
      <c r="G35" s="275"/>
      <c r="H35" s="275"/>
      <c r="I35" s="253" t="s">
        <v>747</v>
      </c>
      <c r="J35" s="253" t="s">
        <v>748</v>
      </c>
      <c r="K35" s="266">
        <v>0.0</v>
      </c>
      <c r="L35" s="266">
        <v>225.2</v>
      </c>
      <c r="M35" s="267">
        <f t="shared" si="1"/>
        <v>225.2</v>
      </c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</row>
    <row r="36" ht="10.5" customHeight="1">
      <c r="A36" s="262" t="s">
        <v>313</v>
      </c>
      <c r="B36" s="263">
        <v>237165.0</v>
      </c>
      <c r="C36" s="264">
        <v>45942.0</v>
      </c>
      <c r="D36" s="276">
        <v>0.9127662037037036</v>
      </c>
      <c r="E36" s="265">
        <v>221.4</v>
      </c>
      <c r="F36" s="274"/>
      <c r="G36" s="275"/>
      <c r="H36" s="275"/>
      <c r="I36" s="253" t="s">
        <v>749</v>
      </c>
      <c r="J36" s="253" t="s">
        <v>750</v>
      </c>
      <c r="K36" s="266">
        <v>0.0</v>
      </c>
      <c r="L36" s="266">
        <v>221.4</v>
      </c>
      <c r="M36" s="267">
        <f t="shared" si="1"/>
        <v>221.4</v>
      </c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</row>
    <row r="37" ht="10.5" customHeight="1">
      <c r="A37" s="262" t="s">
        <v>313</v>
      </c>
      <c r="B37" s="263">
        <v>237189.0</v>
      </c>
      <c r="C37" s="264">
        <v>45942.0</v>
      </c>
      <c r="D37" s="276">
        <v>0.9622222222222222</v>
      </c>
      <c r="E37" s="265">
        <v>216.3</v>
      </c>
      <c r="F37" s="274"/>
      <c r="G37" s="275"/>
      <c r="H37" s="275"/>
      <c r="I37" s="253" t="s">
        <v>700</v>
      </c>
      <c r="J37" s="253" t="s">
        <v>751</v>
      </c>
      <c r="K37" s="266">
        <v>43.26</v>
      </c>
      <c r="L37" s="266">
        <v>259.56</v>
      </c>
      <c r="M37" s="267">
        <f t="shared" si="1"/>
        <v>216.3</v>
      </c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</row>
    <row r="38" ht="10.5" customHeight="1">
      <c r="A38" s="262" t="s">
        <v>313</v>
      </c>
      <c r="B38" s="263">
        <v>237160.0</v>
      </c>
      <c r="C38" s="264">
        <v>45942.0</v>
      </c>
      <c r="D38" s="276">
        <v>0.885150462962963</v>
      </c>
      <c r="E38" s="265">
        <v>214.4</v>
      </c>
      <c r="F38" s="274"/>
      <c r="G38" s="275"/>
      <c r="H38" s="275"/>
      <c r="I38" s="253" t="s">
        <v>752</v>
      </c>
      <c r="J38" s="253" t="s">
        <v>753</v>
      </c>
      <c r="K38" s="266">
        <v>32.16</v>
      </c>
      <c r="L38" s="266">
        <v>246.56</v>
      </c>
      <c r="M38" s="267">
        <f t="shared" si="1"/>
        <v>214.4</v>
      </c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</row>
    <row r="39" ht="10.5" customHeight="1">
      <c r="A39" s="262" t="s">
        <v>313</v>
      </c>
      <c r="B39" s="263">
        <v>237180.0</v>
      </c>
      <c r="C39" s="264">
        <v>45942.0</v>
      </c>
      <c r="D39" s="276">
        <v>0.9248726851851852</v>
      </c>
      <c r="E39" s="265">
        <v>213.4</v>
      </c>
      <c r="F39" s="274"/>
      <c r="G39" s="275"/>
      <c r="H39" s="275"/>
      <c r="I39" s="253" t="s">
        <v>754</v>
      </c>
      <c r="J39" s="253" t="s">
        <v>755</v>
      </c>
      <c r="K39" s="266">
        <v>42.68</v>
      </c>
      <c r="L39" s="266">
        <v>256.08</v>
      </c>
      <c r="M39" s="267">
        <f t="shared" si="1"/>
        <v>213.4</v>
      </c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</row>
    <row r="40" ht="10.5" customHeight="1">
      <c r="A40" s="262" t="s">
        <v>313</v>
      </c>
      <c r="B40" s="263">
        <v>237170.0</v>
      </c>
      <c r="C40" s="264">
        <v>45942.0</v>
      </c>
      <c r="D40" s="276">
        <v>0.9250578703703703</v>
      </c>
      <c r="E40" s="265">
        <v>206.0</v>
      </c>
      <c r="F40" s="274"/>
      <c r="G40" s="275"/>
      <c r="H40" s="275"/>
      <c r="I40" s="253" t="s">
        <v>756</v>
      </c>
      <c r="J40" s="253" t="s">
        <v>757</v>
      </c>
      <c r="K40" s="266">
        <v>41.2</v>
      </c>
      <c r="L40" s="266">
        <v>247.2</v>
      </c>
      <c r="M40" s="267">
        <f t="shared" si="1"/>
        <v>206</v>
      </c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</row>
    <row r="41" ht="10.5" customHeight="1">
      <c r="A41" s="262" t="s">
        <v>313</v>
      </c>
      <c r="B41" s="263">
        <v>237116.0</v>
      </c>
      <c r="C41" s="264">
        <v>45942.0</v>
      </c>
      <c r="D41" s="276">
        <v>0.846099537037037</v>
      </c>
      <c r="E41" s="265">
        <v>199.9</v>
      </c>
      <c r="F41" s="274"/>
      <c r="G41" s="275"/>
      <c r="H41" s="275"/>
      <c r="I41" s="253" t="s">
        <v>758</v>
      </c>
      <c r="J41" s="253" t="s">
        <v>759</v>
      </c>
      <c r="K41" s="266">
        <v>0.0</v>
      </c>
      <c r="L41" s="266">
        <v>199.9</v>
      </c>
      <c r="M41" s="267">
        <f t="shared" si="1"/>
        <v>199.9</v>
      </c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</row>
    <row r="42" ht="10.5" customHeight="1">
      <c r="A42" s="262" t="s">
        <v>313</v>
      </c>
      <c r="B42" s="263">
        <v>237132.0</v>
      </c>
      <c r="C42" s="264">
        <v>45942.0</v>
      </c>
      <c r="D42" s="276">
        <v>0.8662615740740741</v>
      </c>
      <c r="E42" s="265">
        <v>199.9</v>
      </c>
      <c r="F42" s="274"/>
      <c r="G42" s="275"/>
      <c r="H42" s="275"/>
      <c r="I42" s="253" t="s">
        <v>760</v>
      </c>
      <c r="J42" s="253" t="s">
        <v>761</v>
      </c>
      <c r="K42" s="266">
        <v>29.99</v>
      </c>
      <c r="L42" s="266">
        <v>229.89</v>
      </c>
      <c r="M42" s="267">
        <f t="shared" si="1"/>
        <v>199.9</v>
      </c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</row>
    <row r="43" ht="10.5" customHeight="1">
      <c r="A43" s="262" t="s">
        <v>313</v>
      </c>
      <c r="B43" s="263">
        <v>237176.0</v>
      </c>
      <c r="C43" s="264">
        <v>45942.0</v>
      </c>
      <c r="D43" s="276">
        <v>0.9126157407407407</v>
      </c>
      <c r="E43" s="265">
        <v>199.8</v>
      </c>
      <c r="F43" s="274"/>
      <c r="G43" s="275"/>
      <c r="H43" s="275"/>
      <c r="I43" s="253" t="s">
        <v>762</v>
      </c>
      <c r="J43" s="253" t="s">
        <v>763</v>
      </c>
      <c r="K43" s="266">
        <v>5.0</v>
      </c>
      <c r="L43" s="266">
        <v>204.8</v>
      </c>
      <c r="M43" s="267">
        <f t="shared" si="1"/>
        <v>199.8</v>
      </c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</row>
    <row r="44" ht="10.5" customHeight="1">
      <c r="A44" s="262" t="s">
        <v>313</v>
      </c>
      <c r="B44" s="263">
        <v>237190.0</v>
      </c>
      <c r="C44" s="264">
        <v>45942.0</v>
      </c>
      <c r="D44" s="276">
        <v>0.9369212962962963</v>
      </c>
      <c r="E44" s="265">
        <v>198.4</v>
      </c>
      <c r="F44" s="274"/>
      <c r="G44" s="275"/>
      <c r="H44" s="275"/>
      <c r="I44" s="253" t="s">
        <v>764</v>
      </c>
      <c r="J44" s="253" t="s">
        <v>765</v>
      </c>
      <c r="K44" s="266">
        <v>23.81</v>
      </c>
      <c r="L44" s="266">
        <v>222.21</v>
      </c>
      <c r="M44" s="267">
        <f t="shared" si="1"/>
        <v>198.4</v>
      </c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</row>
    <row r="45" ht="10.5" customHeight="1">
      <c r="A45" s="262" t="s">
        <v>313</v>
      </c>
      <c r="B45" s="263">
        <v>237178.0</v>
      </c>
      <c r="C45" s="264">
        <v>45942.0</v>
      </c>
      <c r="D45" s="276">
        <v>0.9252083333333333</v>
      </c>
      <c r="E45" s="265">
        <v>197.9</v>
      </c>
      <c r="F45" s="274"/>
      <c r="G45" s="275"/>
      <c r="H45" s="275"/>
      <c r="I45" s="253" t="s">
        <v>766</v>
      </c>
      <c r="J45" s="253" t="s">
        <v>767</v>
      </c>
      <c r="K45" s="266">
        <v>23.75</v>
      </c>
      <c r="L45" s="266">
        <v>221.65</v>
      </c>
      <c r="M45" s="267">
        <f t="shared" si="1"/>
        <v>197.9</v>
      </c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</row>
    <row r="46" ht="10.5" customHeight="1">
      <c r="A46" s="262" t="s">
        <v>313</v>
      </c>
      <c r="B46" s="263">
        <v>237118.0</v>
      </c>
      <c r="C46" s="264">
        <v>45942.0</v>
      </c>
      <c r="D46" s="276">
        <v>0.8206481481481481</v>
      </c>
      <c r="E46" s="265">
        <v>197.4</v>
      </c>
      <c r="F46" s="274"/>
      <c r="G46" s="275"/>
      <c r="H46" s="275"/>
      <c r="I46" s="253" t="s">
        <v>768</v>
      </c>
      <c r="J46" s="253" t="s">
        <v>769</v>
      </c>
      <c r="K46" s="266">
        <v>22.6</v>
      </c>
      <c r="L46" s="266">
        <v>220.0</v>
      </c>
      <c r="M46" s="267">
        <f t="shared" si="1"/>
        <v>197.4</v>
      </c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</row>
    <row r="47" ht="10.5" customHeight="1">
      <c r="A47" s="262" t="s">
        <v>313</v>
      </c>
      <c r="B47" s="263">
        <v>237173.0</v>
      </c>
      <c r="C47" s="264">
        <v>45942.0</v>
      </c>
      <c r="D47" s="276">
        <v>0.9282407407407407</v>
      </c>
      <c r="E47" s="265">
        <v>195.5</v>
      </c>
      <c r="F47" s="274"/>
      <c r="G47" s="275"/>
      <c r="H47" s="275"/>
      <c r="I47" s="253" t="s">
        <v>770</v>
      </c>
      <c r="J47" s="253" t="s">
        <v>771</v>
      </c>
      <c r="K47" s="266">
        <v>29.33</v>
      </c>
      <c r="L47" s="266">
        <v>224.83</v>
      </c>
      <c r="M47" s="267">
        <f t="shared" si="1"/>
        <v>195.5</v>
      </c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</row>
    <row r="48" ht="10.5" customHeight="1">
      <c r="A48" s="262" t="s">
        <v>313</v>
      </c>
      <c r="B48" s="263">
        <v>237127.0</v>
      </c>
      <c r="C48" s="264">
        <v>45942.0</v>
      </c>
      <c r="D48" s="276">
        <v>0.8246643518518518</v>
      </c>
      <c r="E48" s="265">
        <v>194.8</v>
      </c>
      <c r="F48" s="274"/>
      <c r="G48" s="275"/>
      <c r="H48" s="275"/>
      <c r="I48" s="253" t="s">
        <v>772</v>
      </c>
      <c r="J48" s="253" t="s">
        <v>773</v>
      </c>
      <c r="K48" s="266">
        <v>38.96</v>
      </c>
      <c r="L48" s="266">
        <v>233.76</v>
      </c>
      <c r="M48" s="267">
        <f t="shared" si="1"/>
        <v>194.8</v>
      </c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</row>
    <row r="49" ht="10.5" customHeight="1">
      <c r="A49" s="262" t="s">
        <v>313</v>
      </c>
      <c r="B49" s="263">
        <v>237183.0</v>
      </c>
      <c r="C49" s="264">
        <v>45942.0</v>
      </c>
      <c r="D49" s="276">
        <v>0.9260185185185185</v>
      </c>
      <c r="E49" s="265">
        <v>193.9</v>
      </c>
      <c r="F49" s="274"/>
      <c r="G49" s="275"/>
      <c r="H49" s="275"/>
      <c r="I49" s="253" t="s">
        <v>756</v>
      </c>
      <c r="J49" s="253" t="s">
        <v>774</v>
      </c>
      <c r="K49" s="266">
        <v>23.27</v>
      </c>
      <c r="L49" s="266">
        <v>217.17</v>
      </c>
      <c r="M49" s="267">
        <f t="shared" si="1"/>
        <v>193.9</v>
      </c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</row>
    <row r="50" ht="10.5" customHeight="1">
      <c r="A50" s="262" t="s">
        <v>313</v>
      </c>
      <c r="B50" s="263">
        <v>237188.0</v>
      </c>
      <c r="C50" s="264">
        <v>45942.0</v>
      </c>
      <c r="D50" s="276">
        <v>0.9537037037037037</v>
      </c>
      <c r="E50" s="265">
        <v>190.0</v>
      </c>
      <c r="F50" s="274"/>
      <c r="G50" s="275"/>
      <c r="H50" s="275"/>
      <c r="I50" s="253" t="s">
        <v>775</v>
      </c>
      <c r="J50" s="253" t="s">
        <v>776</v>
      </c>
      <c r="K50" s="266">
        <v>0.0</v>
      </c>
      <c r="L50" s="266">
        <v>190.0</v>
      </c>
      <c r="M50" s="267">
        <f t="shared" si="1"/>
        <v>190</v>
      </c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</row>
    <row r="51" ht="10.5" customHeight="1">
      <c r="A51" s="262" t="s">
        <v>313</v>
      </c>
      <c r="B51" s="263">
        <v>237172.0</v>
      </c>
      <c r="C51" s="264">
        <v>45942.0</v>
      </c>
      <c r="D51" s="276">
        <v>0.9559953703703704</v>
      </c>
      <c r="E51" s="265">
        <v>189.41</v>
      </c>
      <c r="F51" s="274"/>
      <c r="G51" s="275"/>
      <c r="H51" s="275"/>
      <c r="I51" s="253" t="s">
        <v>777</v>
      </c>
      <c r="J51" s="253" t="s">
        <v>697</v>
      </c>
      <c r="K51" s="266">
        <v>0.0</v>
      </c>
      <c r="L51" s="266">
        <v>189.41</v>
      </c>
      <c r="M51" s="267">
        <f t="shared" si="1"/>
        <v>189.41</v>
      </c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</row>
    <row r="52" ht="10.5" customHeight="1">
      <c r="A52" s="262" t="s">
        <v>313</v>
      </c>
      <c r="B52" s="263">
        <v>237197.0</v>
      </c>
      <c r="C52" s="264">
        <v>45942.0</v>
      </c>
      <c r="D52" s="276">
        <v>0.9648611111111111</v>
      </c>
      <c r="E52" s="265">
        <v>189.0</v>
      </c>
      <c r="F52" s="274"/>
      <c r="G52" s="275"/>
      <c r="H52" s="275"/>
      <c r="I52" s="253" t="s">
        <v>778</v>
      </c>
      <c r="J52" s="253" t="s">
        <v>779</v>
      </c>
      <c r="K52" s="266">
        <v>22.68</v>
      </c>
      <c r="L52" s="266">
        <v>211.68</v>
      </c>
      <c r="M52" s="267">
        <f t="shared" si="1"/>
        <v>189</v>
      </c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</row>
    <row r="53" ht="10.5" customHeight="1">
      <c r="A53" s="262" t="s">
        <v>313</v>
      </c>
      <c r="B53" s="263">
        <v>237101.0</v>
      </c>
      <c r="C53" s="264">
        <v>45942.0</v>
      </c>
      <c r="D53" s="276">
        <v>0.8078703703703703</v>
      </c>
      <c r="E53" s="265">
        <v>188.9</v>
      </c>
      <c r="F53" s="274"/>
      <c r="G53" s="275"/>
      <c r="H53" s="275"/>
      <c r="I53" s="253" t="s">
        <v>780</v>
      </c>
      <c r="J53" s="253" t="s">
        <v>781</v>
      </c>
      <c r="K53" s="266">
        <v>21.1</v>
      </c>
      <c r="L53" s="266">
        <v>210.0</v>
      </c>
      <c r="M53" s="267">
        <f t="shared" si="1"/>
        <v>188.9</v>
      </c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</row>
    <row r="54" ht="10.5" customHeight="1">
      <c r="A54" s="262" t="s">
        <v>313</v>
      </c>
      <c r="B54" s="263">
        <v>237133.0</v>
      </c>
      <c r="C54" s="264">
        <v>45942.0</v>
      </c>
      <c r="D54" s="276">
        <v>0.8550231481481482</v>
      </c>
      <c r="E54" s="265">
        <v>185.9</v>
      </c>
      <c r="F54" s="274"/>
      <c r="G54" s="275"/>
      <c r="H54" s="275"/>
      <c r="I54" s="253" t="s">
        <v>782</v>
      </c>
      <c r="J54" s="253" t="s">
        <v>783</v>
      </c>
      <c r="K54" s="266">
        <v>37.18</v>
      </c>
      <c r="L54" s="266">
        <v>223.08</v>
      </c>
      <c r="M54" s="267">
        <f t="shared" si="1"/>
        <v>185.9</v>
      </c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</row>
    <row r="55" ht="10.5" customHeight="1">
      <c r="A55" s="262" t="s">
        <v>313</v>
      </c>
      <c r="B55" s="263">
        <v>237143.0</v>
      </c>
      <c r="C55" s="264">
        <v>45942.0</v>
      </c>
      <c r="D55" s="276">
        <v>0.867662037037037</v>
      </c>
      <c r="E55" s="265">
        <v>185.9</v>
      </c>
      <c r="F55" s="274"/>
      <c r="G55" s="275"/>
      <c r="H55" s="275"/>
      <c r="I55" s="253" t="s">
        <v>784</v>
      </c>
      <c r="J55" s="253" t="s">
        <v>537</v>
      </c>
      <c r="K55" s="266">
        <v>27.89</v>
      </c>
      <c r="L55" s="266">
        <v>213.79</v>
      </c>
      <c r="M55" s="267">
        <f t="shared" si="1"/>
        <v>185.9</v>
      </c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</row>
    <row r="56" ht="10.5" customHeight="1">
      <c r="A56" s="262" t="s">
        <v>313</v>
      </c>
      <c r="B56" s="263">
        <v>237087.0</v>
      </c>
      <c r="C56" s="264">
        <v>45942.0</v>
      </c>
      <c r="D56" s="276">
        <v>0.7824652777777777</v>
      </c>
      <c r="E56" s="265">
        <v>183.9</v>
      </c>
      <c r="F56" s="274"/>
      <c r="G56" s="275"/>
      <c r="H56" s="275"/>
      <c r="I56" s="253" t="s">
        <v>785</v>
      </c>
      <c r="J56" s="253" t="s">
        <v>786</v>
      </c>
      <c r="K56" s="266">
        <v>22.07</v>
      </c>
      <c r="L56" s="266">
        <v>205.97</v>
      </c>
      <c r="M56" s="267">
        <f t="shared" si="1"/>
        <v>183.9</v>
      </c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</row>
    <row r="57" ht="10.5" customHeight="1">
      <c r="A57" s="262" t="s">
        <v>313</v>
      </c>
      <c r="B57" s="263">
        <v>237108.0</v>
      </c>
      <c r="C57" s="264">
        <v>45942.0</v>
      </c>
      <c r="D57" s="276">
        <v>0.794537037037037</v>
      </c>
      <c r="E57" s="265">
        <v>179.8</v>
      </c>
      <c r="F57" s="274"/>
      <c r="G57" s="275"/>
      <c r="H57" s="275"/>
      <c r="I57" s="253" t="s">
        <v>787</v>
      </c>
      <c r="J57" s="253" t="s">
        <v>788</v>
      </c>
      <c r="K57" s="266">
        <v>35.96</v>
      </c>
      <c r="L57" s="266">
        <v>215.76</v>
      </c>
      <c r="M57" s="267">
        <f t="shared" si="1"/>
        <v>179.8</v>
      </c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</row>
    <row r="58" ht="10.5" customHeight="1">
      <c r="A58" s="262" t="s">
        <v>313</v>
      </c>
      <c r="B58" s="263">
        <v>237106.0</v>
      </c>
      <c r="C58" s="264">
        <v>45942.0</v>
      </c>
      <c r="D58" s="276">
        <v>0.8271296296296297</v>
      </c>
      <c r="E58" s="265">
        <v>178.9</v>
      </c>
      <c r="F58" s="278"/>
      <c r="G58" s="275"/>
      <c r="H58" s="275"/>
      <c r="I58" s="253" t="s">
        <v>789</v>
      </c>
      <c r="J58" s="253" t="s">
        <v>790</v>
      </c>
      <c r="K58" s="266">
        <v>0.0</v>
      </c>
      <c r="L58" s="266">
        <v>178.9</v>
      </c>
      <c r="M58" s="267">
        <f t="shared" si="1"/>
        <v>178.9</v>
      </c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</row>
    <row r="59" ht="10.5" customHeight="1">
      <c r="A59" s="262" t="s">
        <v>313</v>
      </c>
      <c r="B59" s="263">
        <v>237112.0</v>
      </c>
      <c r="C59" s="264">
        <v>45942.0</v>
      </c>
      <c r="D59" s="276">
        <v>0.8104976851851852</v>
      </c>
      <c r="E59" s="265">
        <v>176.8</v>
      </c>
      <c r="F59" s="274"/>
      <c r="G59" s="275"/>
      <c r="H59" s="275"/>
      <c r="I59" s="253" t="s">
        <v>791</v>
      </c>
      <c r="J59" s="253" t="s">
        <v>502</v>
      </c>
      <c r="K59" s="266">
        <v>18.2</v>
      </c>
      <c r="L59" s="266">
        <v>195.0</v>
      </c>
      <c r="M59" s="267">
        <f t="shared" si="1"/>
        <v>176.8</v>
      </c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</row>
    <row r="60" ht="10.5" customHeight="1">
      <c r="A60" s="262" t="s">
        <v>313</v>
      </c>
      <c r="B60" s="263">
        <v>237177.0</v>
      </c>
      <c r="C60" s="264">
        <v>45942.0</v>
      </c>
      <c r="D60" s="276">
        <v>0.9296527777777778</v>
      </c>
      <c r="E60" s="265">
        <v>176.8</v>
      </c>
      <c r="F60" s="274"/>
      <c r="G60" s="275"/>
      <c r="H60" s="275"/>
      <c r="I60" s="253" t="s">
        <v>792</v>
      </c>
      <c r="J60" s="253" t="s">
        <v>793</v>
      </c>
      <c r="K60" s="266">
        <v>26.52</v>
      </c>
      <c r="L60" s="266">
        <v>203.32</v>
      </c>
      <c r="M60" s="267">
        <f t="shared" si="1"/>
        <v>176.8</v>
      </c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</row>
    <row r="61" ht="10.5" customHeight="1">
      <c r="A61" s="262" t="s">
        <v>313</v>
      </c>
      <c r="B61" s="263">
        <v>237091.0</v>
      </c>
      <c r="C61" s="264">
        <v>45942.0</v>
      </c>
      <c r="D61" s="276">
        <v>0.758912037037037</v>
      </c>
      <c r="E61" s="265">
        <v>175.3</v>
      </c>
      <c r="F61" s="274"/>
      <c r="G61" s="275"/>
      <c r="H61" s="275"/>
      <c r="I61" s="253" t="s">
        <v>794</v>
      </c>
      <c r="J61" s="253" t="s">
        <v>795</v>
      </c>
      <c r="K61" s="266">
        <v>9.7</v>
      </c>
      <c r="L61" s="266">
        <v>185.0</v>
      </c>
      <c r="M61" s="267">
        <f t="shared" si="1"/>
        <v>175.3</v>
      </c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</row>
    <row r="62" ht="10.5" customHeight="1">
      <c r="A62" s="262" t="s">
        <v>313</v>
      </c>
      <c r="B62" s="263">
        <v>237083.0</v>
      </c>
      <c r="C62" s="264">
        <v>45942.0</v>
      </c>
      <c r="D62" s="276">
        <v>0.7265046296296296</v>
      </c>
      <c r="E62" s="265">
        <v>168.9</v>
      </c>
      <c r="F62" s="274"/>
      <c r="G62" s="275"/>
      <c r="H62" s="275"/>
      <c r="I62" s="253" t="s">
        <v>796</v>
      </c>
      <c r="J62" s="253" t="s">
        <v>797</v>
      </c>
      <c r="K62" s="266">
        <v>25.34</v>
      </c>
      <c r="L62" s="266">
        <v>194.24</v>
      </c>
      <c r="M62" s="267">
        <f t="shared" si="1"/>
        <v>168.9</v>
      </c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</row>
    <row r="63" ht="10.5" customHeight="1">
      <c r="A63" s="262" t="s">
        <v>313</v>
      </c>
      <c r="B63" s="263">
        <v>237148.0</v>
      </c>
      <c r="C63" s="264">
        <v>45942.0</v>
      </c>
      <c r="D63" s="276">
        <v>0.8768865740740741</v>
      </c>
      <c r="E63" s="265">
        <v>165.9</v>
      </c>
      <c r="F63" s="274"/>
      <c r="G63" s="275"/>
      <c r="H63" s="275"/>
      <c r="I63" s="253" t="s">
        <v>798</v>
      </c>
      <c r="J63" s="253" t="s">
        <v>799</v>
      </c>
      <c r="K63" s="266">
        <v>24.1</v>
      </c>
      <c r="L63" s="266">
        <v>190.0</v>
      </c>
      <c r="M63" s="267">
        <f t="shared" si="1"/>
        <v>165.9</v>
      </c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</row>
    <row r="64" ht="10.5" customHeight="1">
      <c r="A64" s="262" t="s">
        <v>313</v>
      </c>
      <c r="B64" s="263">
        <v>237186.0</v>
      </c>
      <c r="C64" s="264">
        <v>45942.0</v>
      </c>
      <c r="D64" s="276">
        <v>0.9456481481481481</v>
      </c>
      <c r="E64" s="265">
        <v>161.0</v>
      </c>
      <c r="F64" s="274"/>
      <c r="G64" s="275"/>
      <c r="H64" s="275"/>
      <c r="I64" s="253" t="s">
        <v>800</v>
      </c>
      <c r="J64" s="253" t="s">
        <v>801</v>
      </c>
      <c r="K64" s="266">
        <v>0.0</v>
      </c>
      <c r="L64" s="266">
        <v>161.0</v>
      </c>
      <c r="M64" s="267">
        <f t="shared" si="1"/>
        <v>161</v>
      </c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</row>
    <row r="65" ht="10.5" customHeight="1">
      <c r="A65" s="262" t="s">
        <v>313</v>
      </c>
      <c r="B65" s="263">
        <v>237070.0</v>
      </c>
      <c r="C65" s="264">
        <v>45942.0</v>
      </c>
      <c r="D65" s="276">
        <v>0.7088657407407407</v>
      </c>
      <c r="E65" s="265">
        <v>160.9</v>
      </c>
      <c r="F65" s="274"/>
      <c r="G65" s="275"/>
      <c r="H65" s="275"/>
      <c r="I65" s="253" t="s">
        <v>802</v>
      </c>
      <c r="J65" s="253" t="s">
        <v>803</v>
      </c>
      <c r="K65" s="266">
        <v>24.1</v>
      </c>
      <c r="L65" s="266">
        <v>185.0</v>
      </c>
      <c r="M65" s="267">
        <f t="shared" si="1"/>
        <v>160.9</v>
      </c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</row>
    <row r="66" ht="10.5" customHeight="1">
      <c r="A66" s="262" t="s">
        <v>313</v>
      </c>
      <c r="B66" s="263">
        <v>237054.0</v>
      </c>
      <c r="C66" s="264">
        <v>45942.0</v>
      </c>
      <c r="D66" s="276">
        <v>0.6346296296296297</v>
      </c>
      <c r="E66" s="265">
        <v>159.4</v>
      </c>
      <c r="F66" s="274"/>
      <c r="G66" s="275"/>
      <c r="H66" s="275"/>
      <c r="I66" s="253" t="s">
        <v>804</v>
      </c>
      <c r="J66" s="253" t="s">
        <v>805</v>
      </c>
      <c r="K66" s="266">
        <v>19.13</v>
      </c>
      <c r="L66" s="266">
        <v>178.53</v>
      </c>
      <c r="M66" s="267">
        <f t="shared" si="1"/>
        <v>159.4</v>
      </c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</row>
    <row r="67" ht="10.5" customHeight="1">
      <c r="A67" s="262" t="s">
        <v>313</v>
      </c>
      <c r="B67" s="263">
        <v>237128.0</v>
      </c>
      <c r="C67" s="264">
        <v>45942.0</v>
      </c>
      <c r="D67" s="276">
        <v>0.8803240740740741</v>
      </c>
      <c r="E67" s="265">
        <v>158.4</v>
      </c>
      <c r="F67" s="274"/>
      <c r="G67" s="275"/>
      <c r="H67" s="275"/>
      <c r="I67" s="253" t="s">
        <v>806</v>
      </c>
      <c r="J67" s="253" t="s">
        <v>807</v>
      </c>
      <c r="K67" s="266">
        <v>0.0</v>
      </c>
      <c r="L67" s="266">
        <v>158.4</v>
      </c>
      <c r="M67" s="267">
        <f t="shared" si="1"/>
        <v>158.4</v>
      </c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</row>
    <row r="68" ht="10.5" customHeight="1">
      <c r="A68" s="262" t="s">
        <v>313</v>
      </c>
      <c r="B68" s="263">
        <v>237058.0</v>
      </c>
      <c r="C68" s="264">
        <v>45942.0</v>
      </c>
      <c r="D68" s="276">
        <v>0.6345023148148148</v>
      </c>
      <c r="E68" s="265">
        <v>156.9</v>
      </c>
      <c r="F68" s="274"/>
      <c r="G68" s="275"/>
      <c r="H68" s="275"/>
      <c r="I68" s="253" t="s">
        <v>808</v>
      </c>
      <c r="J68" s="253" t="s">
        <v>809</v>
      </c>
      <c r="K68" s="266">
        <v>23.54</v>
      </c>
      <c r="L68" s="266">
        <v>180.44</v>
      </c>
      <c r="M68" s="267">
        <f t="shared" si="1"/>
        <v>156.9</v>
      </c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</row>
    <row r="69" ht="10.5" customHeight="1">
      <c r="A69" s="262" t="s">
        <v>313</v>
      </c>
      <c r="B69" s="263">
        <v>237157.0</v>
      </c>
      <c r="C69" s="264">
        <v>45942.0</v>
      </c>
      <c r="D69" s="276">
        <v>0.8753125</v>
      </c>
      <c r="E69" s="265">
        <v>155.8</v>
      </c>
      <c r="F69" s="274"/>
      <c r="G69" s="275"/>
      <c r="H69" s="275"/>
      <c r="I69" s="253" t="s">
        <v>810</v>
      </c>
      <c r="J69" s="253" t="s">
        <v>811</v>
      </c>
      <c r="K69" s="266">
        <v>18.7</v>
      </c>
      <c r="L69" s="266">
        <v>174.5</v>
      </c>
      <c r="M69" s="267">
        <f t="shared" si="1"/>
        <v>155.8</v>
      </c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</row>
    <row r="70" ht="10.5" customHeight="1">
      <c r="A70" s="262" t="s">
        <v>313</v>
      </c>
      <c r="B70" s="263">
        <v>237102.0</v>
      </c>
      <c r="C70" s="264">
        <v>45942.0</v>
      </c>
      <c r="D70" s="276">
        <v>0.8344675925925926</v>
      </c>
      <c r="E70" s="265">
        <v>155.5</v>
      </c>
      <c r="F70" s="274"/>
      <c r="G70" s="275"/>
      <c r="H70" s="275"/>
      <c r="I70" s="253" t="s">
        <v>812</v>
      </c>
      <c r="J70" s="253" t="s">
        <v>813</v>
      </c>
      <c r="K70" s="266">
        <v>23.33</v>
      </c>
      <c r="L70" s="266">
        <v>178.83</v>
      </c>
      <c r="M70" s="267">
        <f t="shared" si="1"/>
        <v>155.5</v>
      </c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</row>
    <row r="71" ht="10.5" customHeight="1">
      <c r="A71" s="262" t="s">
        <v>313</v>
      </c>
      <c r="B71" s="263">
        <v>237084.0</v>
      </c>
      <c r="C71" s="264">
        <v>45942.0</v>
      </c>
      <c r="D71" s="276">
        <v>0.737025462962963</v>
      </c>
      <c r="E71" s="265">
        <v>154.9</v>
      </c>
      <c r="F71" s="274"/>
      <c r="G71" s="275"/>
      <c r="H71" s="275"/>
      <c r="I71" s="253" t="s">
        <v>814</v>
      </c>
      <c r="J71" s="253" t="s">
        <v>815</v>
      </c>
      <c r="K71" s="266">
        <v>5.55</v>
      </c>
      <c r="L71" s="266">
        <v>160.45</v>
      </c>
      <c r="M71" s="267">
        <f t="shared" si="1"/>
        <v>154.9</v>
      </c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</row>
    <row r="72" ht="10.5" customHeight="1">
      <c r="A72" s="262" t="s">
        <v>313</v>
      </c>
      <c r="B72" s="263">
        <v>237147.0</v>
      </c>
      <c r="C72" s="264">
        <v>45942.0</v>
      </c>
      <c r="D72" s="276">
        <v>0.8760648148148148</v>
      </c>
      <c r="E72" s="265">
        <v>152.9</v>
      </c>
      <c r="F72" s="274"/>
      <c r="G72" s="275"/>
      <c r="H72" s="275"/>
      <c r="I72" s="253" t="s">
        <v>816</v>
      </c>
      <c r="J72" s="253" t="s">
        <v>714</v>
      </c>
      <c r="K72" s="266">
        <v>0.0</v>
      </c>
      <c r="L72" s="266">
        <v>152.9</v>
      </c>
      <c r="M72" s="267">
        <f t="shared" si="1"/>
        <v>152.9</v>
      </c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</row>
    <row r="73" ht="10.5" customHeight="1">
      <c r="A73" s="262" t="s">
        <v>313</v>
      </c>
      <c r="B73" s="263">
        <v>237077.0</v>
      </c>
      <c r="C73" s="264">
        <v>45942.0</v>
      </c>
      <c r="D73" s="276">
        <v>0.7361805555555555</v>
      </c>
      <c r="E73" s="265">
        <v>152.4</v>
      </c>
      <c r="F73" s="274"/>
      <c r="G73" s="275"/>
      <c r="H73" s="275"/>
      <c r="I73" s="253" t="s">
        <v>817</v>
      </c>
      <c r="J73" s="253" t="s">
        <v>818</v>
      </c>
      <c r="K73" s="266">
        <v>13.0</v>
      </c>
      <c r="L73" s="266">
        <v>165.4</v>
      </c>
      <c r="M73" s="267">
        <f t="shared" si="1"/>
        <v>152.4</v>
      </c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</row>
    <row r="74" ht="10.5" customHeight="1">
      <c r="A74" s="262" t="s">
        <v>313</v>
      </c>
      <c r="B74" s="263">
        <v>237074.0</v>
      </c>
      <c r="C74" s="264">
        <v>45942.0</v>
      </c>
      <c r="D74" s="276">
        <v>0.6355787037037037</v>
      </c>
      <c r="E74" s="265">
        <v>150.0</v>
      </c>
      <c r="F74" s="274"/>
      <c r="G74" s="275"/>
      <c r="H74" s="275"/>
      <c r="I74" s="253" t="s">
        <v>819</v>
      </c>
      <c r="J74" s="253" t="s">
        <v>820</v>
      </c>
      <c r="K74" s="266">
        <v>0.0</v>
      </c>
      <c r="L74" s="266">
        <v>150.0</v>
      </c>
      <c r="M74" s="267">
        <f t="shared" si="1"/>
        <v>150</v>
      </c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</row>
    <row r="75" ht="10.5" customHeight="1">
      <c r="A75" s="262" t="s">
        <v>313</v>
      </c>
      <c r="B75" s="263">
        <v>237199.0</v>
      </c>
      <c r="C75" s="264">
        <v>45942.0</v>
      </c>
      <c r="D75" s="276">
        <v>0.9499652777777777</v>
      </c>
      <c r="E75" s="265">
        <v>148.7</v>
      </c>
      <c r="F75" s="274"/>
      <c r="G75" s="275"/>
      <c r="H75" s="275"/>
      <c r="I75" s="253" t="s">
        <v>821</v>
      </c>
      <c r="J75" s="253" t="s">
        <v>822</v>
      </c>
      <c r="K75" s="266">
        <v>10.0</v>
      </c>
      <c r="L75" s="266">
        <v>158.7</v>
      </c>
      <c r="M75" s="267">
        <f t="shared" si="1"/>
        <v>148.7</v>
      </c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5"/>
    </row>
    <row r="76" ht="10.5" customHeight="1">
      <c r="A76" s="262" t="s">
        <v>313</v>
      </c>
      <c r="B76" s="263">
        <v>237110.0</v>
      </c>
      <c r="C76" s="264">
        <v>45942.0</v>
      </c>
      <c r="D76" s="276">
        <v>0.8226851851851852</v>
      </c>
      <c r="E76" s="265">
        <v>146.9</v>
      </c>
      <c r="F76" s="274"/>
      <c r="G76" s="275"/>
      <c r="H76" s="275"/>
      <c r="I76" s="253" t="s">
        <v>723</v>
      </c>
      <c r="J76" s="253" t="s">
        <v>823</v>
      </c>
      <c r="K76" s="266">
        <v>22.04</v>
      </c>
      <c r="L76" s="266">
        <v>168.94</v>
      </c>
      <c r="M76" s="267">
        <f t="shared" si="1"/>
        <v>146.9</v>
      </c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</row>
    <row r="77" ht="10.5" customHeight="1">
      <c r="A77" s="262" t="s">
        <v>313</v>
      </c>
      <c r="B77" s="263">
        <v>237080.0</v>
      </c>
      <c r="C77" s="264">
        <v>45942.0</v>
      </c>
      <c r="D77" s="276">
        <v>0.7573842592592592</v>
      </c>
      <c r="E77" s="265">
        <v>145.9</v>
      </c>
      <c r="F77" s="274"/>
      <c r="G77" s="275"/>
      <c r="H77" s="275"/>
      <c r="I77" s="253" t="s">
        <v>824</v>
      </c>
      <c r="J77" s="253" t="s">
        <v>825</v>
      </c>
      <c r="K77" s="266">
        <v>0.0</v>
      </c>
      <c r="L77" s="266">
        <v>145.9</v>
      </c>
      <c r="M77" s="267">
        <f t="shared" si="1"/>
        <v>145.9</v>
      </c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</row>
    <row r="78" ht="10.5" customHeight="1">
      <c r="A78" s="262" t="s">
        <v>313</v>
      </c>
      <c r="B78" s="263">
        <v>237166.0</v>
      </c>
      <c r="C78" s="264">
        <v>45942.0</v>
      </c>
      <c r="D78" s="276">
        <v>0.9045833333333333</v>
      </c>
      <c r="E78" s="265">
        <v>140.4</v>
      </c>
      <c r="F78" s="274"/>
      <c r="G78" s="275"/>
      <c r="H78" s="275"/>
      <c r="I78" s="253" t="s">
        <v>826</v>
      </c>
      <c r="J78" s="253" t="s">
        <v>827</v>
      </c>
      <c r="K78" s="266">
        <v>15.0</v>
      </c>
      <c r="L78" s="266">
        <v>155.4</v>
      </c>
      <c r="M78" s="267">
        <f t="shared" si="1"/>
        <v>140.4</v>
      </c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</row>
    <row r="79" ht="10.5" customHeight="1">
      <c r="A79" s="262" t="s">
        <v>313</v>
      </c>
      <c r="B79" s="263">
        <v>237162.0</v>
      </c>
      <c r="C79" s="264">
        <v>45942.0</v>
      </c>
      <c r="D79" s="276">
        <v>0.895613425925926</v>
      </c>
      <c r="E79" s="265">
        <v>137.9</v>
      </c>
      <c r="F79" s="274"/>
      <c r="G79" s="275"/>
      <c r="H79" s="275"/>
      <c r="I79" s="253" t="s">
        <v>828</v>
      </c>
      <c r="J79" s="253" t="s">
        <v>829</v>
      </c>
      <c r="K79" s="266">
        <v>0.0</v>
      </c>
      <c r="L79" s="266">
        <v>137.9</v>
      </c>
      <c r="M79" s="267">
        <f t="shared" si="1"/>
        <v>137.9</v>
      </c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</row>
    <row r="80" ht="10.5" customHeight="1">
      <c r="A80" s="262" t="s">
        <v>313</v>
      </c>
      <c r="B80" s="263">
        <v>237117.0</v>
      </c>
      <c r="C80" s="264">
        <v>45942.0</v>
      </c>
      <c r="D80" s="276">
        <v>0.8229166666666666</v>
      </c>
      <c r="E80" s="265">
        <v>137.4</v>
      </c>
      <c r="F80" s="274"/>
      <c r="G80" s="275"/>
      <c r="H80" s="275"/>
      <c r="I80" s="253" t="s">
        <v>723</v>
      </c>
      <c r="J80" s="253" t="s">
        <v>830</v>
      </c>
      <c r="K80" s="266">
        <v>12.7</v>
      </c>
      <c r="L80" s="266">
        <v>150.0</v>
      </c>
      <c r="M80" s="267">
        <f t="shared" si="1"/>
        <v>137.3</v>
      </c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</row>
    <row r="81" ht="10.5" customHeight="1">
      <c r="A81" s="262" t="s">
        <v>313</v>
      </c>
      <c r="B81" s="263">
        <v>237098.0</v>
      </c>
      <c r="C81" s="264">
        <v>45942.0</v>
      </c>
      <c r="D81" s="276">
        <v>0.7862037037037037</v>
      </c>
      <c r="E81" s="265">
        <v>137.0</v>
      </c>
      <c r="F81" s="274"/>
      <c r="G81" s="275"/>
      <c r="H81" s="275"/>
      <c r="I81" s="253" t="s">
        <v>831</v>
      </c>
      <c r="J81" s="253" t="s">
        <v>832</v>
      </c>
      <c r="K81" s="266">
        <v>16.44</v>
      </c>
      <c r="L81" s="266">
        <v>153.44</v>
      </c>
      <c r="M81" s="267">
        <f t="shared" si="1"/>
        <v>137</v>
      </c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</row>
    <row r="82" ht="10.5" customHeight="1">
      <c r="A82" s="262" t="s">
        <v>313</v>
      </c>
      <c r="B82" s="263">
        <v>237104.0</v>
      </c>
      <c r="C82" s="264">
        <v>45942.0</v>
      </c>
      <c r="D82" s="276">
        <v>0.7943634259259259</v>
      </c>
      <c r="E82" s="265">
        <v>136.9</v>
      </c>
      <c r="F82" s="274"/>
      <c r="G82" s="275"/>
      <c r="H82" s="275"/>
      <c r="I82" s="253" t="s">
        <v>833</v>
      </c>
      <c r="J82" s="253" t="s">
        <v>834</v>
      </c>
      <c r="K82" s="266">
        <v>0.0</v>
      </c>
      <c r="L82" s="266">
        <v>136.9</v>
      </c>
      <c r="M82" s="267">
        <f t="shared" si="1"/>
        <v>136.9</v>
      </c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</row>
    <row r="83" ht="10.5" customHeight="1">
      <c r="A83" s="262" t="s">
        <v>313</v>
      </c>
      <c r="B83" s="263">
        <v>237047.0</v>
      </c>
      <c r="C83" s="264">
        <v>45942.0</v>
      </c>
      <c r="D83" s="276">
        <v>0.6213310185185185</v>
      </c>
      <c r="E83" s="265">
        <v>135.5</v>
      </c>
      <c r="F83" s="274"/>
      <c r="G83" s="275"/>
      <c r="H83" s="275"/>
      <c r="I83" s="253" t="s">
        <v>835</v>
      </c>
      <c r="J83" s="253" t="s">
        <v>836</v>
      </c>
      <c r="K83" s="266">
        <v>16.26</v>
      </c>
      <c r="L83" s="266">
        <v>151.76</v>
      </c>
      <c r="M83" s="267">
        <f t="shared" si="1"/>
        <v>135.5</v>
      </c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</row>
    <row r="84" ht="10.5" customHeight="1">
      <c r="A84" s="262" t="s">
        <v>313</v>
      </c>
      <c r="B84" s="263">
        <v>237095.0</v>
      </c>
      <c r="C84" s="264">
        <v>45942.0</v>
      </c>
      <c r="D84" s="276">
        <v>0.782349537037037</v>
      </c>
      <c r="E84" s="265">
        <v>134.5</v>
      </c>
      <c r="F84" s="274"/>
      <c r="G84" s="275"/>
      <c r="H84" s="275"/>
      <c r="I84" s="253" t="s">
        <v>785</v>
      </c>
      <c r="J84" s="253" t="s">
        <v>837</v>
      </c>
      <c r="K84" s="266">
        <v>0.0</v>
      </c>
      <c r="L84" s="266">
        <v>134.5</v>
      </c>
      <c r="M84" s="267">
        <f t="shared" si="1"/>
        <v>134.5</v>
      </c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</row>
    <row r="85" ht="10.5" customHeight="1">
      <c r="A85" s="262" t="s">
        <v>313</v>
      </c>
      <c r="B85" s="263">
        <v>237100.0</v>
      </c>
      <c r="C85" s="264">
        <v>45942.0</v>
      </c>
      <c r="D85" s="276">
        <v>0.7243287037037037</v>
      </c>
      <c r="E85" s="265">
        <v>132.7</v>
      </c>
      <c r="F85" s="274"/>
      <c r="G85" s="275"/>
      <c r="H85" s="275"/>
      <c r="I85" s="253" t="s">
        <v>838</v>
      </c>
      <c r="J85" s="253" t="s">
        <v>839</v>
      </c>
      <c r="K85" s="266">
        <v>15.92</v>
      </c>
      <c r="L85" s="266">
        <v>148.62</v>
      </c>
      <c r="M85" s="267">
        <f t="shared" si="1"/>
        <v>132.7</v>
      </c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</row>
    <row r="86" ht="10.5" customHeight="1">
      <c r="A86" s="262" t="s">
        <v>313</v>
      </c>
      <c r="B86" s="263">
        <v>237120.0</v>
      </c>
      <c r="C86" s="264">
        <v>45942.0</v>
      </c>
      <c r="D86" s="276">
        <v>0.8272800925925926</v>
      </c>
      <c r="E86" s="265">
        <v>129.9</v>
      </c>
      <c r="F86" s="274"/>
      <c r="G86" s="275"/>
      <c r="H86" s="275"/>
      <c r="I86" s="253" t="s">
        <v>772</v>
      </c>
      <c r="J86" s="253" t="s">
        <v>840</v>
      </c>
      <c r="K86" s="266">
        <v>0.0</v>
      </c>
      <c r="L86" s="266">
        <v>129.9</v>
      </c>
      <c r="M86" s="267">
        <f t="shared" si="1"/>
        <v>129.9</v>
      </c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</row>
    <row r="87" ht="10.5" customHeight="1">
      <c r="A87" s="262" t="s">
        <v>313</v>
      </c>
      <c r="B87" s="263">
        <v>237046.0</v>
      </c>
      <c r="C87" s="264">
        <v>45942.0</v>
      </c>
      <c r="D87" s="276">
        <v>0.5954398148148148</v>
      </c>
      <c r="E87" s="265">
        <v>128.3</v>
      </c>
      <c r="F87" s="274"/>
      <c r="G87" s="275"/>
      <c r="H87" s="275"/>
      <c r="I87" s="253" t="s">
        <v>841</v>
      </c>
      <c r="J87" s="253" t="s">
        <v>842</v>
      </c>
      <c r="K87" s="266">
        <v>15.4</v>
      </c>
      <c r="L87" s="266">
        <v>143.7</v>
      </c>
      <c r="M87" s="267">
        <f t="shared" si="1"/>
        <v>128.3</v>
      </c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</row>
    <row r="88" ht="10.5" customHeight="1">
      <c r="A88" s="262" t="s">
        <v>313</v>
      </c>
      <c r="B88" s="263">
        <v>237057.0</v>
      </c>
      <c r="C88" s="264">
        <v>45942.0</v>
      </c>
      <c r="D88" s="276">
        <v>0.6196527777777778</v>
      </c>
      <c r="E88" s="265">
        <v>125.25</v>
      </c>
      <c r="F88" s="274"/>
      <c r="G88" s="275"/>
      <c r="H88" s="275"/>
      <c r="I88" s="253" t="s">
        <v>843</v>
      </c>
      <c r="J88" s="253" t="s">
        <v>844</v>
      </c>
      <c r="K88" s="266">
        <v>0.0</v>
      </c>
      <c r="L88" s="266">
        <v>125.25</v>
      </c>
      <c r="M88" s="267">
        <f t="shared" si="1"/>
        <v>125.25</v>
      </c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</row>
    <row r="89" ht="10.5" customHeight="1">
      <c r="A89" s="262" t="s">
        <v>313</v>
      </c>
      <c r="B89" s="263">
        <v>237057.0</v>
      </c>
      <c r="C89" s="264">
        <v>45942.0</v>
      </c>
      <c r="D89" s="276">
        <v>0.6196296296296296</v>
      </c>
      <c r="E89" s="265">
        <v>125.25</v>
      </c>
      <c r="F89" s="274"/>
      <c r="G89" s="275"/>
      <c r="H89" s="275"/>
      <c r="I89" s="253" t="s">
        <v>845</v>
      </c>
      <c r="J89" s="253" t="s">
        <v>846</v>
      </c>
      <c r="K89" s="266">
        <v>0.0</v>
      </c>
      <c r="L89" s="266">
        <v>125.25</v>
      </c>
      <c r="M89" s="267">
        <f t="shared" si="1"/>
        <v>125.25</v>
      </c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</row>
    <row r="90" ht="10.5" customHeight="1">
      <c r="A90" s="262" t="s">
        <v>313</v>
      </c>
      <c r="B90" s="263">
        <v>237063.0</v>
      </c>
      <c r="C90" s="264">
        <v>45942.0</v>
      </c>
      <c r="D90" s="276">
        <v>0.6653125</v>
      </c>
      <c r="E90" s="265">
        <v>121.0</v>
      </c>
      <c r="F90" s="274"/>
      <c r="G90" s="275"/>
      <c r="H90" s="275"/>
      <c r="I90" s="253" t="s">
        <v>847</v>
      </c>
      <c r="J90" s="253" t="s">
        <v>848</v>
      </c>
      <c r="K90" s="266">
        <v>14.52</v>
      </c>
      <c r="L90" s="266">
        <v>135.52</v>
      </c>
      <c r="M90" s="267">
        <f t="shared" si="1"/>
        <v>121</v>
      </c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</row>
    <row r="91" ht="10.5" customHeight="1">
      <c r="A91" s="262" t="s">
        <v>313</v>
      </c>
      <c r="B91" s="263">
        <v>237126.0</v>
      </c>
      <c r="C91" s="264">
        <v>45942.0</v>
      </c>
      <c r="D91" s="276">
        <v>0.9041550925925926</v>
      </c>
      <c r="E91" s="265">
        <v>120.0</v>
      </c>
      <c r="F91" s="274"/>
      <c r="G91" s="275"/>
      <c r="H91" s="275"/>
      <c r="I91" s="253" t="s">
        <v>826</v>
      </c>
      <c r="J91" s="253" t="s">
        <v>449</v>
      </c>
      <c r="K91" s="266">
        <v>0.0</v>
      </c>
      <c r="L91" s="266">
        <v>120.0</v>
      </c>
      <c r="M91" s="267">
        <f t="shared" si="1"/>
        <v>120</v>
      </c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</row>
    <row r="92" ht="10.5" customHeight="1">
      <c r="A92" s="262" t="s">
        <v>313</v>
      </c>
      <c r="B92" s="263">
        <v>237107.0</v>
      </c>
      <c r="C92" s="264">
        <v>45942.0</v>
      </c>
      <c r="D92" s="276">
        <v>0.8196180555555556</v>
      </c>
      <c r="E92" s="265">
        <v>109.9</v>
      </c>
      <c r="F92" s="274"/>
      <c r="G92" s="275"/>
      <c r="H92" s="275"/>
      <c r="I92" s="253" t="s">
        <v>849</v>
      </c>
      <c r="J92" s="253" t="s">
        <v>850</v>
      </c>
      <c r="K92" s="266">
        <v>21.98</v>
      </c>
      <c r="L92" s="266">
        <v>131.88</v>
      </c>
      <c r="M92" s="267">
        <f t="shared" si="1"/>
        <v>109.9</v>
      </c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</row>
    <row r="93" ht="10.5" customHeight="1">
      <c r="A93" s="262" t="s">
        <v>313</v>
      </c>
      <c r="B93" s="263">
        <v>237168.0</v>
      </c>
      <c r="C93" s="264">
        <v>45942.0</v>
      </c>
      <c r="D93" s="276">
        <v>0.9134027777777778</v>
      </c>
      <c r="E93" s="265">
        <v>101.45</v>
      </c>
      <c r="F93" s="274"/>
      <c r="G93" s="275"/>
      <c r="H93" s="275"/>
      <c r="I93" s="253" t="s">
        <v>851</v>
      </c>
      <c r="J93" s="253" t="s">
        <v>852</v>
      </c>
      <c r="K93" s="266">
        <v>0.0</v>
      </c>
      <c r="L93" s="266">
        <v>101.45</v>
      </c>
      <c r="M93" s="267">
        <f t="shared" si="1"/>
        <v>101.45</v>
      </c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</row>
    <row r="94" ht="10.5" customHeight="1">
      <c r="A94" s="262" t="s">
        <v>313</v>
      </c>
      <c r="B94" s="263">
        <v>237168.0</v>
      </c>
      <c r="C94" s="264">
        <v>45942.0</v>
      </c>
      <c r="D94" s="276">
        <v>0.9133796296296296</v>
      </c>
      <c r="E94" s="265">
        <v>101.45</v>
      </c>
      <c r="F94" s="274"/>
      <c r="G94" s="275"/>
      <c r="H94" s="275"/>
      <c r="I94" s="253" t="s">
        <v>851</v>
      </c>
      <c r="J94" s="253" t="s">
        <v>853</v>
      </c>
      <c r="K94" s="266">
        <v>12.17</v>
      </c>
      <c r="L94" s="266">
        <v>113.62</v>
      </c>
      <c r="M94" s="267">
        <f t="shared" si="1"/>
        <v>101.45</v>
      </c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</row>
    <row r="95" ht="10.5" customHeight="1">
      <c r="A95" s="262" t="s">
        <v>313</v>
      </c>
      <c r="B95" s="263">
        <v>237138.0</v>
      </c>
      <c r="C95" s="264">
        <v>45942.0</v>
      </c>
      <c r="D95" s="276">
        <v>0.8770486111111111</v>
      </c>
      <c r="E95" s="265">
        <v>101.4</v>
      </c>
      <c r="F95" s="274"/>
      <c r="G95" s="275"/>
      <c r="H95" s="275"/>
      <c r="I95" s="253" t="s">
        <v>854</v>
      </c>
      <c r="J95" s="253" t="s">
        <v>855</v>
      </c>
      <c r="K95" s="266">
        <v>12.17</v>
      </c>
      <c r="L95" s="266">
        <v>113.57</v>
      </c>
      <c r="M95" s="267">
        <f t="shared" si="1"/>
        <v>101.4</v>
      </c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</row>
    <row r="96" ht="10.5" customHeight="1">
      <c r="A96" s="262" t="s">
        <v>313</v>
      </c>
      <c r="B96" s="263">
        <v>237066.0</v>
      </c>
      <c r="C96" s="264">
        <v>45942.0</v>
      </c>
      <c r="D96" s="276">
        <v>0.617025462962963</v>
      </c>
      <c r="E96" s="265">
        <v>100.0</v>
      </c>
      <c r="F96" s="274"/>
      <c r="G96" s="275"/>
      <c r="H96" s="275"/>
      <c r="I96" s="253" t="s">
        <v>856</v>
      </c>
      <c r="J96" s="253" t="s">
        <v>857</v>
      </c>
      <c r="K96" s="266">
        <v>0.0</v>
      </c>
      <c r="L96" s="266">
        <v>100.0</v>
      </c>
      <c r="M96" s="267">
        <f t="shared" si="1"/>
        <v>100</v>
      </c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</row>
    <row r="97" ht="10.5" customHeight="1">
      <c r="A97" s="262" t="s">
        <v>313</v>
      </c>
      <c r="B97" s="263">
        <v>237072.0</v>
      </c>
      <c r="C97" s="264">
        <v>45942.0</v>
      </c>
      <c r="D97" s="276">
        <v>0.6345601851851852</v>
      </c>
      <c r="E97" s="265">
        <v>100.0</v>
      </c>
      <c r="F97" s="274"/>
      <c r="G97" s="275"/>
      <c r="H97" s="275"/>
      <c r="I97" s="253" t="s">
        <v>721</v>
      </c>
      <c r="J97" s="253" t="s">
        <v>858</v>
      </c>
      <c r="K97" s="266">
        <v>0.0</v>
      </c>
      <c r="L97" s="266">
        <v>100.0</v>
      </c>
      <c r="M97" s="267">
        <f t="shared" si="1"/>
        <v>100</v>
      </c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</row>
    <row r="98" ht="10.5" customHeight="1">
      <c r="A98" s="262" t="s">
        <v>313</v>
      </c>
      <c r="B98" s="263">
        <v>237086.0</v>
      </c>
      <c r="C98" s="264">
        <v>45942.0</v>
      </c>
      <c r="D98" s="276">
        <v>0.8766203703703703</v>
      </c>
      <c r="E98" s="265">
        <v>98.16</v>
      </c>
      <c r="F98" s="274"/>
      <c r="G98" s="275"/>
      <c r="H98" s="275"/>
      <c r="I98" s="253" t="s">
        <v>859</v>
      </c>
      <c r="J98" s="253" t="s">
        <v>860</v>
      </c>
      <c r="K98" s="266">
        <v>19.63</v>
      </c>
      <c r="L98" s="266">
        <v>117.79</v>
      </c>
      <c r="M98" s="267">
        <f t="shared" si="1"/>
        <v>98.16</v>
      </c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</row>
    <row r="99" ht="10.5" customHeight="1">
      <c r="A99" s="262" t="s">
        <v>313</v>
      </c>
      <c r="B99" s="263">
        <v>237086.0</v>
      </c>
      <c r="C99" s="264">
        <v>45942.0</v>
      </c>
      <c r="D99" s="276">
        <v>0.8765740740740741</v>
      </c>
      <c r="E99" s="265">
        <v>98.16</v>
      </c>
      <c r="F99" s="274"/>
      <c r="G99" s="275"/>
      <c r="H99" s="275"/>
      <c r="I99" s="253" t="s">
        <v>861</v>
      </c>
      <c r="J99" s="253" t="s">
        <v>862</v>
      </c>
      <c r="K99" s="266">
        <v>19.63</v>
      </c>
      <c r="L99" s="266">
        <v>117.79</v>
      </c>
      <c r="M99" s="267">
        <f t="shared" si="1"/>
        <v>98.16</v>
      </c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</row>
    <row r="100" ht="10.5" customHeight="1">
      <c r="A100" s="262" t="s">
        <v>313</v>
      </c>
      <c r="B100" s="263">
        <v>237086.0</v>
      </c>
      <c r="C100" s="264">
        <v>45942.0</v>
      </c>
      <c r="D100" s="276">
        <v>0.8764930555555556</v>
      </c>
      <c r="E100" s="265">
        <v>98.16</v>
      </c>
      <c r="F100" s="274"/>
      <c r="G100" s="279"/>
      <c r="H100" s="275"/>
      <c r="I100" s="253" t="s">
        <v>798</v>
      </c>
      <c r="J100" s="253" t="s">
        <v>863</v>
      </c>
      <c r="K100" s="266">
        <v>11.78</v>
      </c>
      <c r="L100" s="266">
        <v>109.94</v>
      </c>
      <c r="M100" s="267">
        <f t="shared" si="1"/>
        <v>98.16</v>
      </c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</row>
    <row r="101" ht="10.5" customHeight="1">
      <c r="A101" s="262" t="s">
        <v>313</v>
      </c>
      <c r="B101" s="263">
        <v>237086.0</v>
      </c>
      <c r="C101" s="264">
        <v>45942.0</v>
      </c>
      <c r="D101" s="276">
        <v>0.8764120370370371</v>
      </c>
      <c r="E101" s="265">
        <v>98.16</v>
      </c>
      <c r="F101" s="274"/>
      <c r="G101" s="275"/>
      <c r="H101" s="275"/>
      <c r="I101" s="253" t="s">
        <v>859</v>
      </c>
      <c r="J101" s="253" t="s">
        <v>864</v>
      </c>
      <c r="K101" s="266">
        <v>11.78</v>
      </c>
      <c r="L101" s="266">
        <v>109.94</v>
      </c>
      <c r="M101" s="267">
        <f t="shared" si="1"/>
        <v>98.16</v>
      </c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</row>
    <row r="102" ht="10.5" customHeight="1">
      <c r="A102" s="262" t="s">
        <v>313</v>
      </c>
      <c r="B102" s="263">
        <v>237086.0</v>
      </c>
      <c r="C102" s="264">
        <v>45942.0</v>
      </c>
      <c r="D102" s="276">
        <v>0.8762962962962964</v>
      </c>
      <c r="E102" s="265">
        <v>98.16</v>
      </c>
      <c r="F102" s="274"/>
      <c r="G102" s="275"/>
      <c r="H102" s="275"/>
      <c r="I102" s="253" t="s">
        <v>861</v>
      </c>
      <c r="J102" s="253" t="s">
        <v>865</v>
      </c>
      <c r="K102" s="266">
        <v>14.72</v>
      </c>
      <c r="L102" s="266">
        <v>112.88</v>
      </c>
      <c r="M102" s="267">
        <f t="shared" si="1"/>
        <v>98.16</v>
      </c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</row>
    <row r="103" ht="10.5" customHeight="1">
      <c r="A103" s="262" t="s">
        <v>313</v>
      </c>
      <c r="B103" s="263">
        <v>237152.0</v>
      </c>
      <c r="C103" s="264">
        <v>45942.0</v>
      </c>
      <c r="D103" s="276">
        <v>0.9278935185185185</v>
      </c>
      <c r="E103" s="265">
        <v>96.0</v>
      </c>
      <c r="F103" s="274"/>
      <c r="G103" s="275"/>
      <c r="H103" s="275"/>
      <c r="I103" s="253" t="s">
        <v>866</v>
      </c>
      <c r="J103" s="253" t="s">
        <v>867</v>
      </c>
      <c r="K103" s="266">
        <v>0.0</v>
      </c>
      <c r="L103" s="266">
        <v>96.0</v>
      </c>
      <c r="M103" s="267">
        <f t="shared" si="1"/>
        <v>96</v>
      </c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</row>
    <row r="104" ht="10.5" customHeight="1">
      <c r="A104" s="262" t="s">
        <v>313</v>
      </c>
      <c r="B104" s="263">
        <v>237152.0</v>
      </c>
      <c r="C104" s="264">
        <v>45942.0</v>
      </c>
      <c r="D104" s="276">
        <v>0.927962962962963</v>
      </c>
      <c r="E104" s="265">
        <v>96.0</v>
      </c>
      <c r="F104" s="274"/>
      <c r="G104" s="275"/>
      <c r="H104" s="275"/>
      <c r="I104" s="253" t="s">
        <v>866</v>
      </c>
      <c r="J104" s="253" t="s">
        <v>868</v>
      </c>
      <c r="K104" s="266">
        <v>0.0</v>
      </c>
      <c r="L104" s="266">
        <v>96.0</v>
      </c>
      <c r="M104" s="267">
        <f t="shared" si="1"/>
        <v>96</v>
      </c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</row>
    <row r="105" ht="10.5" customHeight="1">
      <c r="A105" s="262" t="s">
        <v>313</v>
      </c>
      <c r="B105" s="263">
        <v>237121.0</v>
      </c>
      <c r="C105" s="264">
        <v>45942.0</v>
      </c>
      <c r="D105" s="276">
        <v>0.7860185185185186</v>
      </c>
      <c r="E105" s="265">
        <v>89.5</v>
      </c>
      <c r="F105" s="274"/>
      <c r="G105" s="275"/>
      <c r="H105" s="275"/>
      <c r="I105" s="253" t="s">
        <v>869</v>
      </c>
      <c r="J105" s="253" t="s">
        <v>870</v>
      </c>
      <c r="K105" s="266">
        <v>10.74</v>
      </c>
      <c r="L105" s="266">
        <v>100.24</v>
      </c>
      <c r="M105" s="267">
        <f t="shared" si="1"/>
        <v>89.5</v>
      </c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</row>
    <row r="106" ht="10.5" customHeight="1">
      <c r="A106" s="262" t="s">
        <v>313</v>
      </c>
      <c r="B106" s="263">
        <v>237179.0</v>
      </c>
      <c r="C106" s="264">
        <v>45942.0</v>
      </c>
      <c r="D106" s="276">
        <v>0.910775462962963</v>
      </c>
      <c r="E106" s="265">
        <v>88.4</v>
      </c>
      <c r="F106" s="274"/>
      <c r="G106" s="275"/>
      <c r="H106" s="275"/>
      <c r="I106" s="253" t="s">
        <v>871</v>
      </c>
      <c r="J106" s="253" t="s">
        <v>872</v>
      </c>
      <c r="K106" s="266">
        <v>30.0</v>
      </c>
      <c r="L106" s="266">
        <v>118.4</v>
      </c>
      <c r="M106" s="267">
        <f t="shared" si="1"/>
        <v>88.4</v>
      </c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</row>
    <row r="107" ht="10.5" customHeight="1">
      <c r="A107" s="262" t="s">
        <v>313</v>
      </c>
      <c r="B107" s="263">
        <v>237090.0</v>
      </c>
      <c r="C107" s="264">
        <v>45942.0</v>
      </c>
      <c r="D107" s="276">
        <v>0.7591203703703704</v>
      </c>
      <c r="E107" s="265">
        <v>83.4</v>
      </c>
      <c r="F107" s="274"/>
      <c r="G107" s="275"/>
      <c r="H107" s="275"/>
      <c r="I107" s="253" t="s">
        <v>873</v>
      </c>
      <c r="J107" s="253" t="s">
        <v>874</v>
      </c>
      <c r="K107" s="266">
        <v>10.01</v>
      </c>
      <c r="L107" s="266">
        <v>93.41</v>
      </c>
      <c r="M107" s="267">
        <f t="shared" si="1"/>
        <v>83.4</v>
      </c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</row>
    <row r="108" ht="10.5" customHeight="1">
      <c r="A108" s="262" t="s">
        <v>313</v>
      </c>
      <c r="B108" s="263">
        <v>237149.0</v>
      </c>
      <c r="C108" s="264">
        <v>45942.0</v>
      </c>
      <c r="D108" s="276">
        <v>0.8197453703703703</v>
      </c>
      <c r="E108" s="265">
        <v>82.0</v>
      </c>
      <c r="F108" s="274"/>
      <c r="G108" s="275"/>
      <c r="H108" s="275"/>
      <c r="I108" s="253" t="s">
        <v>875</v>
      </c>
      <c r="J108" s="253" t="s">
        <v>850</v>
      </c>
      <c r="K108" s="266">
        <v>9.84</v>
      </c>
      <c r="L108" s="266">
        <v>91.84</v>
      </c>
      <c r="M108" s="267">
        <f t="shared" si="1"/>
        <v>82</v>
      </c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</row>
    <row r="109" ht="10.5" customHeight="1">
      <c r="A109" s="262" t="s">
        <v>313</v>
      </c>
      <c r="B109" s="263">
        <v>237111.0</v>
      </c>
      <c r="C109" s="264">
        <v>45942.0</v>
      </c>
      <c r="D109" s="276">
        <v>0.8346759259259259</v>
      </c>
      <c r="E109" s="265">
        <v>80.7</v>
      </c>
      <c r="F109" s="274"/>
      <c r="G109" s="275"/>
      <c r="H109" s="275"/>
      <c r="I109" s="253" t="s">
        <v>876</v>
      </c>
      <c r="J109" s="253" t="s">
        <v>877</v>
      </c>
      <c r="K109" s="266">
        <v>12.11</v>
      </c>
      <c r="L109" s="266">
        <v>92.81</v>
      </c>
      <c r="M109" s="267">
        <f t="shared" si="1"/>
        <v>80.7</v>
      </c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</row>
    <row r="110" ht="10.5" customHeight="1">
      <c r="A110" s="262" t="s">
        <v>313</v>
      </c>
      <c r="B110" s="263">
        <v>237111.0</v>
      </c>
      <c r="C110" s="264">
        <v>45942.0</v>
      </c>
      <c r="D110" s="276">
        <v>0.8346412037037036</v>
      </c>
      <c r="E110" s="265">
        <v>80.7</v>
      </c>
      <c r="F110" s="274"/>
      <c r="G110" s="275"/>
      <c r="H110" s="275"/>
      <c r="I110" s="253" t="s">
        <v>878</v>
      </c>
      <c r="J110" s="253" t="s">
        <v>879</v>
      </c>
      <c r="K110" s="266">
        <v>0.0</v>
      </c>
      <c r="L110" s="266">
        <v>80.7</v>
      </c>
      <c r="M110" s="267">
        <f t="shared" si="1"/>
        <v>80.7</v>
      </c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</row>
    <row r="111" ht="10.5" customHeight="1">
      <c r="A111" s="262" t="s">
        <v>313</v>
      </c>
      <c r="B111" s="263">
        <v>237163.0</v>
      </c>
      <c r="C111" s="264">
        <v>45942.0</v>
      </c>
      <c r="D111" s="276">
        <v>0.8530902777777778</v>
      </c>
      <c r="E111" s="265">
        <v>76.5</v>
      </c>
      <c r="F111" s="274"/>
      <c r="G111" s="275"/>
      <c r="H111" s="275"/>
      <c r="I111" s="253" t="s">
        <v>880</v>
      </c>
      <c r="J111" s="253" t="s">
        <v>718</v>
      </c>
      <c r="K111" s="266">
        <v>23.5</v>
      </c>
      <c r="L111" s="266">
        <v>100.0</v>
      </c>
      <c r="M111" s="267">
        <f t="shared" si="1"/>
        <v>76.5</v>
      </c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</row>
    <row r="112" ht="10.5" customHeight="1">
      <c r="A112" s="262" t="s">
        <v>313</v>
      </c>
      <c r="B112" s="263">
        <v>237142.0</v>
      </c>
      <c r="C112" s="264">
        <v>45942.0</v>
      </c>
      <c r="D112" s="276">
        <v>0.8807638888888889</v>
      </c>
      <c r="E112" s="265">
        <v>72.9</v>
      </c>
      <c r="F112" s="274"/>
      <c r="G112" s="275"/>
      <c r="H112" s="275"/>
      <c r="I112" s="253" t="s">
        <v>806</v>
      </c>
      <c r="J112" s="253" t="s">
        <v>881</v>
      </c>
      <c r="K112" s="266">
        <v>14.58</v>
      </c>
      <c r="L112" s="266">
        <v>87.48</v>
      </c>
      <c r="M112" s="267">
        <f t="shared" si="1"/>
        <v>72.9</v>
      </c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</row>
    <row r="113" ht="10.5" customHeight="1">
      <c r="A113" s="262" t="s">
        <v>313</v>
      </c>
      <c r="B113" s="263">
        <v>237152.0</v>
      </c>
      <c r="C113" s="264">
        <v>45942.0</v>
      </c>
      <c r="D113" s="276">
        <v>0.9280324074074074</v>
      </c>
      <c r="E113" s="280">
        <v>69.4</v>
      </c>
      <c r="F113" s="259">
        <v>27.0</v>
      </c>
      <c r="G113" s="275"/>
      <c r="H113" s="275"/>
      <c r="I113" s="253" t="s">
        <v>692</v>
      </c>
      <c r="J113" s="253" t="s">
        <v>882</v>
      </c>
      <c r="K113" s="266">
        <v>26.6</v>
      </c>
      <c r="L113" s="266">
        <v>96.0</v>
      </c>
      <c r="M113" s="267">
        <f t="shared" si="1"/>
        <v>69.4</v>
      </c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</row>
    <row r="114" ht="10.5" customHeight="1">
      <c r="A114" s="262" t="s">
        <v>313</v>
      </c>
      <c r="B114" s="263">
        <v>237130.0</v>
      </c>
      <c r="C114" s="264">
        <v>45942.0</v>
      </c>
      <c r="D114" s="276">
        <v>0.8342939814814815</v>
      </c>
      <c r="E114" s="265">
        <v>68.5</v>
      </c>
      <c r="F114" s="274"/>
      <c r="G114" s="275"/>
      <c r="H114" s="275"/>
      <c r="I114" s="253" t="s">
        <v>688</v>
      </c>
      <c r="J114" s="253" t="s">
        <v>689</v>
      </c>
      <c r="K114" s="266">
        <v>0.1</v>
      </c>
      <c r="L114" s="266">
        <v>68.6</v>
      </c>
      <c r="M114" s="267">
        <f t="shared" si="1"/>
        <v>68.5</v>
      </c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</row>
    <row r="115" ht="10.5" customHeight="1">
      <c r="A115" s="262" t="s">
        <v>313</v>
      </c>
      <c r="B115" s="263">
        <v>237089.0</v>
      </c>
      <c r="C115" s="264">
        <v>45942.0</v>
      </c>
      <c r="D115" s="276">
        <v>0.7696412037037037</v>
      </c>
      <c r="E115" s="265">
        <v>60.0</v>
      </c>
      <c r="F115" s="274"/>
      <c r="G115" s="275"/>
      <c r="H115" s="275"/>
      <c r="I115" s="253" t="s">
        <v>883</v>
      </c>
      <c r="J115" s="253" t="s">
        <v>884</v>
      </c>
      <c r="K115" s="266">
        <v>0.0</v>
      </c>
      <c r="L115" s="266">
        <v>60.0</v>
      </c>
      <c r="M115" s="267">
        <f t="shared" si="1"/>
        <v>60</v>
      </c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</row>
    <row r="116" ht="10.5" customHeight="1">
      <c r="A116" s="262" t="s">
        <v>313</v>
      </c>
      <c r="B116" s="263">
        <v>237089.0</v>
      </c>
      <c r="C116" s="264">
        <v>45942.0</v>
      </c>
      <c r="D116" s="276">
        <v>0.7695833333333333</v>
      </c>
      <c r="E116" s="265">
        <v>60.0</v>
      </c>
      <c r="F116" s="274"/>
      <c r="G116" s="279"/>
      <c r="H116" s="275"/>
      <c r="I116" s="253" t="s">
        <v>885</v>
      </c>
      <c r="J116" s="253" t="s">
        <v>886</v>
      </c>
      <c r="K116" s="266">
        <v>0.0</v>
      </c>
      <c r="L116" s="266">
        <v>60.0</v>
      </c>
      <c r="M116" s="267">
        <f t="shared" si="1"/>
        <v>60</v>
      </c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</row>
    <row r="117" ht="10.5" customHeight="1">
      <c r="A117" s="262" t="s">
        <v>313</v>
      </c>
      <c r="B117" s="263">
        <v>237089.0</v>
      </c>
      <c r="C117" s="264">
        <v>45942.0</v>
      </c>
      <c r="D117" s="276">
        <v>0.7695138888888889</v>
      </c>
      <c r="E117" s="265">
        <v>60.0</v>
      </c>
      <c r="F117" s="274"/>
      <c r="G117" s="275"/>
      <c r="H117" s="275"/>
      <c r="I117" s="253" t="s">
        <v>887</v>
      </c>
      <c r="J117" s="253" t="s">
        <v>888</v>
      </c>
      <c r="K117" s="266">
        <v>0.0</v>
      </c>
      <c r="L117" s="266">
        <v>60.0</v>
      </c>
      <c r="M117" s="267">
        <f t="shared" si="1"/>
        <v>60</v>
      </c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</row>
    <row r="118" ht="10.5" customHeight="1">
      <c r="A118" s="262" t="s">
        <v>313</v>
      </c>
      <c r="B118" s="263">
        <v>237089.0</v>
      </c>
      <c r="C118" s="264">
        <v>45942.0</v>
      </c>
      <c r="D118" s="276">
        <v>0.7694675925925926</v>
      </c>
      <c r="E118" s="265">
        <v>60.0</v>
      </c>
      <c r="F118" s="274"/>
      <c r="G118" s="275"/>
      <c r="H118" s="275"/>
      <c r="I118" s="253" t="s">
        <v>889</v>
      </c>
      <c r="J118" s="253" t="s">
        <v>890</v>
      </c>
      <c r="K118" s="266">
        <v>0.0</v>
      </c>
      <c r="L118" s="266">
        <v>60.0</v>
      </c>
      <c r="M118" s="267">
        <f t="shared" si="1"/>
        <v>60</v>
      </c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</row>
    <row r="119" ht="10.5" customHeight="1">
      <c r="A119" s="262" t="s">
        <v>313</v>
      </c>
      <c r="B119" s="263">
        <v>237076.0</v>
      </c>
      <c r="C119" s="264">
        <v>45942.0</v>
      </c>
      <c r="D119" s="276">
        <v>0.7076851851851852</v>
      </c>
      <c r="E119" s="265">
        <v>53.5</v>
      </c>
      <c r="F119" s="274"/>
      <c r="G119" s="275"/>
      <c r="H119" s="275"/>
      <c r="I119" s="253" t="s">
        <v>891</v>
      </c>
      <c r="J119" s="253" t="s">
        <v>892</v>
      </c>
      <c r="K119" s="266">
        <v>0.0</v>
      </c>
      <c r="L119" s="266">
        <v>53.5</v>
      </c>
      <c r="M119" s="267">
        <f t="shared" si="1"/>
        <v>53.5</v>
      </c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</row>
    <row r="120" ht="10.5" customHeight="1">
      <c r="A120" s="262" t="s">
        <v>313</v>
      </c>
      <c r="B120" s="263">
        <v>237194.0</v>
      </c>
      <c r="C120" s="264">
        <v>45942.0</v>
      </c>
      <c r="D120" s="276">
        <v>0.9129050925925926</v>
      </c>
      <c r="E120" s="265">
        <v>49.5</v>
      </c>
      <c r="F120" s="274"/>
      <c r="G120" s="275"/>
      <c r="H120" s="275"/>
      <c r="I120" s="253" t="s">
        <v>749</v>
      </c>
      <c r="J120" s="253" t="s">
        <v>893</v>
      </c>
      <c r="K120" s="266">
        <v>0.0</v>
      </c>
      <c r="L120" s="266">
        <v>49.5</v>
      </c>
      <c r="M120" s="267">
        <f t="shared" si="1"/>
        <v>49.5</v>
      </c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</row>
    <row r="121" ht="10.5" customHeight="1">
      <c r="A121" s="262" t="s">
        <v>313</v>
      </c>
      <c r="B121" s="263">
        <v>237129.0</v>
      </c>
      <c r="C121" s="264">
        <v>45942.0</v>
      </c>
      <c r="D121" s="276">
        <v>0.7870023148148149</v>
      </c>
      <c r="E121" s="265">
        <v>15.0</v>
      </c>
      <c r="F121" s="274"/>
      <c r="G121" s="275"/>
      <c r="H121" s="275"/>
      <c r="I121" s="253" t="s">
        <v>894</v>
      </c>
      <c r="J121" s="253" t="s">
        <v>895</v>
      </c>
      <c r="K121" s="266">
        <v>0.0</v>
      </c>
      <c r="L121" s="266">
        <v>15.0</v>
      </c>
      <c r="M121" s="267">
        <f t="shared" si="1"/>
        <v>15</v>
      </c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</row>
    <row r="122" ht="10.5" customHeight="1">
      <c r="A122" s="262" t="s">
        <v>313</v>
      </c>
      <c r="B122" s="263">
        <v>237200.0</v>
      </c>
      <c r="C122" s="264">
        <v>45942.0</v>
      </c>
      <c r="D122" s="276">
        <v>0.9025</v>
      </c>
      <c r="E122" s="265">
        <v>12.49</v>
      </c>
      <c r="F122" s="274"/>
      <c r="G122" s="275"/>
      <c r="H122" s="275"/>
      <c r="I122" s="253" t="s">
        <v>826</v>
      </c>
      <c r="J122" s="253" t="s">
        <v>896</v>
      </c>
      <c r="K122" s="266">
        <v>0.0</v>
      </c>
      <c r="L122" s="266">
        <v>12.49</v>
      </c>
      <c r="M122" s="267">
        <f t="shared" si="1"/>
        <v>12.49</v>
      </c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</row>
    <row r="123" ht="10.5" customHeight="1">
      <c r="A123" s="262" t="s">
        <v>313</v>
      </c>
      <c r="B123" s="263">
        <v>237144.0</v>
      </c>
      <c r="C123" s="264">
        <v>45942.0</v>
      </c>
      <c r="D123" s="276">
        <v>0.8898495370370371</v>
      </c>
      <c r="E123" s="265">
        <v>9.6</v>
      </c>
      <c r="F123" s="274"/>
      <c r="G123" s="275"/>
      <c r="H123" s="275"/>
      <c r="I123" s="253" t="s">
        <v>897</v>
      </c>
      <c r="J123" s="253" t="s">
        <v>898</v>
      </c>
      <c r="K123" s="266">
        <v>10.0</v>
      </c>
      <c r="L123" s="266">
        <v>19.6</v>
      </c>
      <c r="M123" s="267">
        <f t="shared" si="1"/>
        <v>9.6</v>
      </c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</row>
    <row r="124" ht="10.5" customHeight="1">
      <c r="A124" s="262" t="s">
        <v>313</v>
      </c>
      <c r="B124" s="263">
        <v>237171.0</v>
      </c>
      <c r="C124" s="264">
        <v>45942.0</v>
      </c>
      <c r="D124" s="276">
        <v>0.8835069444444444</v>
      </c>
      <c r="E124" s="265">
        <v>4.0</v>
      </c>
      <c r="F124" s="274"/>
      <c r="G124" s="275"/>
      <c r="H124" s="275"/>
      <c r="I124" s="253" t="s">
        <v>899</v>
      </c>
      <c r="J124" s="253" t="s">
        <v>895</v>
      </c>
      <c r="K124" s="266">
        <v>0.0</v>
      </c>
      <c r="L124" s="266">
        <v>4.0</v>
      </c>
      <c r="M124" s="267">
        <f t="shared" si="1"/>
        <v>4</v>
      </c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</row>
    <row r="125" ht="10.5" customHeight="1">
      <c r="A125" s="262" t="s">
        <v>313</v>
      </c>
      <c r="B125" s="263">
        <v>237201.0</v>
      </c>
      <c r="C125" s="264">
        <v>45942.0</v>
      </c>
      <c r="D125" s="276">
        <v>0.9271990740740741</v>
      </c>
      <c r="E125" s="265">
        <v>1.2</v>
      </c>
      <c r="F125" s="274"/>
      <c r="G125" s="275"/>
      <c r="H125" s="275"/>
      <c r="I125" s="253" t="s">
        <v>900</v>
      </c>
      <c r="J125" s="253" t="s">
        <v>901</v>
      </c>
      <c r="K125" s="266">
        <v>0.0</v>
      </c>
      <c r="L125" s="266">
        <v>1.9</v>
      </c>
      <c r="M125" s="267">
        <f t="shared" si="1"/>
        <v>1.9</v>
      </c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</row>
    <row r="126" ht="10.5" customHeight="1">
      <c r="A126" s="275"/>
      <c r="B126" s="275"/>
      <c r="C126" s="275"/>
      <c r="D126" s="275"/>
      <c r="E126" s="275"/>
      <c r="F126" s="275"/>
      <c r="G126" s="275"/>
      <c r="H126" s="275"/>
      <c r="I126" s="253" t="s">
        <v>902</v>
      </c>
      <c r="J126" s="253" t="s">
        <v>469</v>
      </c>
      <c r="K126" s="266">
        <v>0.0</v>
      </c>
      <c r="L126" s="266">
        <v>1.2</v>
      </c>
      <c r="M126" s="267">
        <f t="shared" si="1"/>
        <v>1.2</v>
      </c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</row>
    <row r="127" ht="10.5" customHeight="1">
      <c r="A127" s="275"/>
      <c r="B127" s="275"/>
      <c r="C127" s="275"/>
      <c r="D127" s="275"/>
      <c r="E127" s="281">
        <f>SUM(E2:E126)</f>
        <v>25660.92</v>
      </c>
      <c r="F127" s="275"/>
      <c r="G127" s="275"/>
      <c r="H127" s="275"/>
      <c r="I127" s="275"/>
      <c r="J127" s="275"/>
      <c r="K127" s="275"/>
      <c r="L127" s="275"/>
      <c r="M127" s="268">
        <f>SUM(M2:M126)</f>
        <v>25708.64</v>
      </c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</row>
    <row r="128" ht="10.5" customHeight="1">
      <c r="A128" s="275"/>
      <c r="B128" s="275"/>
      <c r="C128" s="275"/>
      <c r="D128" s="275"/>
      <c r="E128" s="275"/>
      <c r="F128" s="275"/>
      <c r="G128" s="275"/>
      <c r="H128" s="275"/>
      <c r="I128" s="275"/>
      <c r="J128" s="275"/>
      <c r="K128" s="275"/>
      <c r="L128" s="275"/>
      <c r="M128" s="282">
        <f>M127-E127</f>
        <v>47.72</v>
      </c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</row>
    <row r="129" ht="10.5" customHeight="1">
      <c r="A129" s="275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</row>
    <row r="130" ht="10.5" customHeight="1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</row>
    <row r="131" ht="10.5" customHeight="1">
      <c r="A131" s="275"/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</row>
    <row r="132" ht="10.5" customHeight="1">
      <c r="A132" s="275"/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</row>
    <row r="133" ht="10.5" customHeight="1">
      <c r="A133" s="275"/>
      <c r="B133" s="275"/>
      <c r="C133" s="275"/>
      <c r="D133" s="275"/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</row>
    <row r="134" ht="10.5" customHeight="1">
      <c r="A134" s="275"/>
      <c r="B134" s="275"/>
      <c r="C134" s="275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</row>
    <row r="135" ht="10.5" customHeight="1">
      <c r="A135" s="275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</row>
    <row r="136" ht="10.5" customHeight="1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</row>
    <row r="137" ht="10.5" customHeight="1">
      <c r="A137" s="275"/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</row>
    <row r="138" ht="10.5" customHeight="1">
      <c r="A138" s="275"/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</row>
    <row r="139" ht="10.5" customHeight="1">
      <c r="A139" s="275"/>
      <c r="B139" s="275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</row>
    <row r="140" ht="10.5" customHeight="1">
      <c r="A140" s="275"/>
      <c r="B140" s="275"/>
      <c r="C140" s="275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</row>
    <row r="141" ht="10.5" customHeight="1">
      <c r="A141" s="275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</row>
    <row r="142" ht="10.5" customHeight="1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</row>
    <row r="143" ht="10.5" customHeight="1">
      <c r="A143" s="275"/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</row>
    <row r="144" ht="10.5" customHeight="1">
      <c r="A144" s="275"/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</row>
    <row r="145" ht="10.5" customHeight="1">
      <c r="A145" s="275"/>
      <c r="B145" s="275"/>
      <c r="C145" s="275"/>
      <c r="D145" s="275"/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</row>
    <row r="146" ht="10.5" customHeight="1">
      <c r="A146" s="275"/>
      <c r="B146" s="275"/>
      <c r="C146" s="275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</row>
    <row r="147" ht="10.5" customHeight="1">
      <c r="A147" s="275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</row>
    <row r="148" ht="10.5" customHeight="1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</row>
    <row r="149" ht="10.5" customHeight="1">
      <c r="A149" s="275"/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</row>
    <row r="150" ht="10.5" customHeight="1">
      <c r="A150" s="275"/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</row>
    <row r="151" ht="10.5" customHeight="1">
      <c r="A151" s="275"/>
      <c r="B151" s="275"/>
      <c r="C151" s="275"/>
      <c r="D151" s="275"/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</row>
    <row r="152" ht="10.5" customHeight="1">
      <c r="A152" s="275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</row>
    <row r="153" ht="10.5" customHeight="1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</row>
    <row r="154" ht="10.5" customHeight="1">
      <c r="A154" s="275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</row>
    <row r="155" ht="10.5" customHeight="1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</row>
    <row r="156" ht="10.5" customHeight="1">
      <c r="A156" s="275"/>
      <c r="B156" s="275"/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</row>
    <row r="157" ht="10.5" customHeight="1">
      <c r="A157" s="275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</row>
    <row r="158" ht="10.5" customHeight="1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</row>
    <row r="159" ht="10.5" customHeight="1">
      <c r="A159" s="275"/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</row>
    <row r="160" ht="10.5" customHeight="1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</row>
    <row r="161" ht="10.5" customHeight="1">
      <c r="A161" s="275"/>
      <c r="B161" s="275"/>
      <c r="C161" s="275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</row>
    <row r="162" ht="10.5" customHeight="1">
      <c r="A162" s="275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</row>
    <row r="163" ht="10.5" customHeight="1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</row>
    <row r="164" ht="10.5" customHeight="1">
      <c r="A164" s="275"/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</row>
    <row r="165" ht="10.5" customHeight="1">
      <c r="A165" s="275"/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</row>
    <row r="166" ht="10.5" customHeight="1">
      <c r="A166" s="275"/>
      <c r="B166" s="275"/>
      <c r="C166" s="275"/>
      <c r="D166" s="275"/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</row>
    <row r="167" ht="10.5" customHeight="1">
      <c r="A167" s="275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</row>
    <row r="168" ht="10.5" customHeight="1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</row>
    <row r="169" ht="10.5" customHeight="1">
      <c r="A169" s="275"/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</row>
    <row r="170" ht="10.5" customHeight="1">
      <c r="A170" s="275"/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</row>
    <row r="171" ht="10.5" customHeight="1">
      <c r="A171" s="275"/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</row>
    <row r="172" ht="10.5" customHeight="1">
      <c r="A172" s="275"/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</row>
    <row r="173" ht="10.5" customHeight="1">
      <c r="A173" s="275"/>
      <c r="B173" s="275"/>
      <c r="C173" s="275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</row>
    <row r="174" ht="10.5" customHeight="1">
      <c r="A174" s="275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</row>
    <row r="175" ht="10.5" customHeight="1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</row>
    <row r="176" ht="10.5" customHeight="1">
      <c r="A176" s="275"/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</row>
    <row r="177" ht="10.5" customHeight="1">
      <c r="A177" s="275"/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</row>
    <row r="178" ht="10.5" customHeight="1">
      <c r="A178" s="275"/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</row>
    <row r="179" ht="10.5" customHeight="1">
      <c r="A179" s="275"/>
      <c r="B179" s="275"/>
      <c r="C179" s="275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</row>
    <row r="180" ht="10.5" customHeight="1">
      <c r="A180" s="275"/>
      <c r="B180" s="275"/>
      <c r="C180" s="275"/>
      <c r="D180" s="275"/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</row>
    <row r="181" ht="10.5" customHeight="1">
      <c r="A181" s="275"/>
      <c r="B181" s="275"/>
      <c r="C181" s="275"/>
      <c r="D181" s="275"/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</row>
    <row r="182" ht="10.5" customHeight="1">
      <c r="A182" s="275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</row>
    <row r="183" ht="10.5" customHeight="1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</row>
    <row r="184" ht="10.5" customHeight="1">
      <c r="A184" s="275"/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</row>
    <row r="185" ht="10.5" customHeight="1">
      <c r="A185" s="275"/>
      <c r="B185" s="275"/>
      <c r="C185" s="275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</row>
    <row r="186" ht="10.5" customHeight="1">
      <c r="A186" s="275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</row>
    <row r="187" ht="10.5" customHeight="1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</row>
    <row r="188" ht="10.5" customHeight="1">
      <c r="A188" s="275"/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</row>
    <row r="189" ht="10.5" customHeight="1">
      <c r="A189" s="275"/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</row>
    <row r="190" ht="10.5" customHeight="1">
      <c r="A190" s="275"/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</row>
    <row r="191" ht="10.5" customHeight="1">
      <c r="A191" s="275"/>
      <c r="B191" s="275"/>
      <c r="C191" s="275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</row>
    <row r="192" ht="10.5" customHeight="1">
      <c r="A192" s="275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</row>
    <row r="193" ht="10.5" customHeight="1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</row>
    <row r="194" ht="10.5" customHeight="1">
      <c r="A194" s="275"/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</row>
    <row r="195" ht="10.5" customHeight="1">
      <c r="A195" s="275"/>
      <c r="B195" s="275"/>
      <c r="C195" s="275"/>
      <c r="D195" s="275"/>
      <c r="E195" s="275"/>
      <c r="F195" s="275"/>
      <c r="G195" s="275"/>
      <c r="H195" s="275"/>
      <c r="I195" s="275"/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</row>
    <row r="196" ht="10.5" customHeight="1">
      <c r="A196" s="275"/>
      <c r="B196" s="275"/>
      <c r="C196" s="275"/>
      <c r="D196" s="27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</row>
    <row r="197" ht="10.5" customHeight="1">
      <c r="A197" s="275"/>
      <c r="B197" s="275"/>
      <c r="C197" s="275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</row>
    <row r="198" ht="10.5" customHeight="1">
      <c r="A198" s="275"/>
      <c r="B198" s="275"/>
      <c r="C198" s="275"/>
      <c r="D198" s="27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</row>
    <row r="199" ht="10.5" customHeight="1">
      <c r="A199" s="275"/>
      <c r="B199" s="275"/>
      <c r="C199" s="275"/>
      <c r="D199" s="275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</row>
    <row r="200" ht="10.5" customHeight="1">
      <c r="A200" s="275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</row>
    <row r="201" ht="10.5" customHeight="1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</row>
    <row r="202" ht="10.5" customHeight="1">
      <c r="A202" s="275"/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</row>
    <row r="203" ht="10.5" customHeight="1">
      <c r="A203" s="275"/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</row>
    <row r="204" ht="10.5" customHeight="1">
      <c r="A204" s="275"/>
      <c r="B204" s="275"/>
      <c r="C204" s="275"/>
      <c r="D204" s="275"/>
      <c r="E204" s="275"/>
      <c r="F204" s="275"/>
      <c r="G204" s="275"/>
      <c r="H204" s="275"/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</row>
    <row r="205" ht="10.5" customHeight="1">
      <c r="A205" s="275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</row>
    <row r="206" ht="10.5" customHeight="1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</row>
    <row r="207" ht="10.5" customHeight="1">
      <c r="A207" s="275"/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</row>
    <row r="208" ht="10.5" customHeight="1">
      <c r="A208" s="275"/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</row>
    <row r="209" ht="10.5" customHeight="1">
      <c r="A209" s="275"/>
      <c r="B209" s="275"/>
      <c r="C209" s="275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</row>
    <row r="210" ht="10.5" customHeight="1">
      <c r="A210" s="275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</row>
    <row r="211" ht="10.5" customHeight="1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</row>
    <row r="212" ht="10.5" customHeight="1">
      <c r="A212" s="275"/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</row>
    <row r="213" ht="10.5" customHeight="1">
      <c r="A213" s="275"/>
      <c r="B213" s="275"/>
      <c r="C213" s="275"/>
      <c r="D213" s="275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</row>
    <row r="214" ht="10.5" customHeight="1">
      <c r="A214" s="275"/>
      <c r="B214" s="275"/>
      <c r="C214" s="275"/>
      <c r="D214" s="275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</row>
    <row r="215" ht="10.5" customHeight="1">
      <c r="A215" s="275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</row>
    <row r="216" ht="10.5" customHeight="1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</row>
    <row r="217" ht="10.5" customHeight="1">
      <c r="A217" s="275"/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</row>
    <row r="218" ht="10.5" customHeight="1">
      <c r="A218" s="275"/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</row>
    <row r="219" ht="10.5" customHeight="1">
      <c r="A219" s="275"/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</row>
    <row r="220" ht="10.5" customHeight="1">
      <c r="A220" s="275"/>
      <c r="B220" s="275"/>
      <c r="C220" s="275"/>
      <c r="D220" s="275"/>
      <c r="E220" s="275"/>
      <c r="F220" s="275"/>
      <c r="G220" s="275"/>
      <c r="H220" s="275"/>
      <c r="I220" s="275"/>
      <c r="J220" s="275"/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</row>
    <row r="221" ht="10.5" customHeight="1">
      <c r="A221" s="275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</row>
    <row r="222" ht="10.5" customHeight="1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</row>
    <row r="223" ht="10.5" customHeight="1">
      <c r="A223" s="275"/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</row>
    <row r="224" ht="10.5" customHeight="1">
      <c r="A224" s="275"/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</row>
    <row r="225" ht="10.5" customHeight="1">
      <c r="A225" s="275"/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</row>
    <row r="226" ht="10.5" customHeight="1">
      <c r="A226" s="275"/>
      <c r="B226" s="275"/>
      <c r="C226" s="275"/>
      <c r="D226" s="275"/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</row>
    <row r="227" ht="10.5" customHeight="1">
      <c r="A227" s="275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</row>
    <row r="228" ht="10.5" customHeight="1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</row>
    <row r="229" ht="10.5" customHeight="1">
      <c r="A229" s="275"/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</row>
    <row r="230" ht="10.5" customHeight="1">
      <c r="A230" s="275"/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</row>
    <row r="231" ht="10.5" customHeight="1">
      <c r="A231" s="275"/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</row>
    <row r="232" ht="10.5" customHeight="1">
      <c r="A232" s="275"/>
      <c r="B232" s="275"/>
      <c r="C232" s="275"/>
      <c r="D232" s="275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</row>
    <row r="233" ht="10.5" customHeight="1">
      <c r="A233" s="275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</row>
    <row r="234" ht="10.5" customHeight="1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</row>
    <row r="235" ht="10.5" customHeight="1">
      <c r="A235" s="275"/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</row>
    <row r="236" ht="10.5" customHeight="1">
      <c r="A236" s="275"/>
      <c r="B236" s="275"/>
      <c r="C236" s="275"/>
      <c r="D236" s="275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</row>
    <row r="237" ht="10.5" customHeight="1">
      <c r="A237" s="275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</row>
    <row r="238" ht="10.5" customHeight="1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</row>
    <row r="239" ht="10.5" customHeight="1">
      <c r="A239" s="275"/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</row>
    <row r="240" ht="10.5" customHeight="1">
      <c r="A240" s="275"/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</row>
    <row r="241" ht="10.5" customHeight="1">
      <c r="A241" s="275"/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</row>
    <row r="242" ht="10.5" customHeight="1">
      <c r="A242" s="275"/>
      <c r="B242" s="275"/>
      <c r="C242" s="275"/>
      <c r="D242" s="275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</row>
    <row r="243" ht="10.5" customHeight="1">
      <c r="A243" s="275"/>
      <c r="B243" s="275"/>
      <c r="C243" s="275"/>
      <c r="D243" s="275"/>
      <c r="E243" s="275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</row>
    <row r="244" ht="10.5" customHeight="1">
      <c r="A244" s="275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5"/>
    </row>
    <row r="245" ht="10.5" customHeight="1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</row>
    <row r="246" ht="10.5" customHeight="1">
      <c r="A246" s="275"/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</row>
    <row r="247" ht="10.5" customHeight="1">
      <c r="A247" s="275"/>
      <c r="B247" s="275"/>
      <c r="C247" s="275"/>
      <c r="D247" s="275"/>
      <c r="E247" s="275"/>
      <c r="F247" s="275"/>
      <c r="G247" s="275"/>
      <c r="H247" s="275"/>
      <c r="I247" s="275"/>
      <c r="J247" s="275"/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5"/>
    </row>
    <row r="248" ht="10.5" customHeight="1">
      <c r="A248" s="275"/>
      <c r="B248" s="275"/>
      <c r="C248" s="275"/>
      <c r="D248" s="275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</row>
    <row r="249" ht="10.5" customHeight="1">
      <c r="A249" s="275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</row>
    <row r="250" ht="10.5" customHeight="1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</row>
    <row r="251" ht="10.5" customHeight="1">
      <c r="A251" s="275"/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</row>
    <row r="252" ht="10.5" customHeight="1">
      <c r="A252" s="275"/>
      <c r="B252" s="275"/>
      <c r="C252" s="275"/>
      <c r="D252" s="275"/>
      <c r="E252" s="275"/>
      <c r="F252" s="275"/>
      <c r="G252" s="275"/>
      <c r="H252" s="275"/>
      <c r="I252" s="275"/>
      <c r="J252" s="275"/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</row>
    <row r="253" ht="10.5" customHeight="1">
      <c r="A253" s="275"/>
      <c r="B253" s="275"/>
      <c r="C253" s="275"/>
      <c r="D253" s="275"/>
      <c r="E253" s="275"/>
      <c r="F253" s="275"/>
      <c r="G253" s="275"/>
      <c r="H253" s="275"/>
      <c r="I253" s="275"/>
      <c r="J253" s="275"/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</row>
    <row r="254" ht="10.5" customHeight="1">
      <c r="A254" s="275"/>
      <c r="B254" s="275"/>
      <c r="C254" s="275"/>
      <c r="D254" s="275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</row>
    <row r="255" ht="10.5" customHeight="1">
      <c r="A255" s="275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</row>
    <row r="256" ht="10.5" customHeight="1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</row>
    <row r="257" ht="10.5" customHeight="1">
      <c r="A257" s="275"/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</row>
    <row r="258" ht="10.5" customHeight="1">
      <c r="A258" s="275"/>
      <c r="B258" s="275"/>
      <c r="C258" s="275"/>
      <c r="D258" s="275"/>
      <c r="E258" s="275"/>
      <c r="F258" s="275"/>
      <c r="G258" s="275"/>
      <c r="H258" s="275"/>
      <c r="I258" s="275"/>
      <c r="J258" s="275"/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</row>
    <row r="259" ht="10.5" customHeight="1">
      <c r="A259" s="275"/>
      <c r="B259" s="275"/>
      <c r="C259" s="275"/>
      <c r="D259" s="275"/>
      <c r="E259" s="275"/>
      <c r="F259" s="275"/>
      <c r="G259" s="275"/>
      <c r="H259" s="275"/>
      <c r="I259" s="275"/>
      <c r="J259" s="275"/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</row>
    <row r="260" ht="10.5" customHeight="1">
      <c r="A260" s="275"/>
      <c r="B260" s="275"/>
      <c r="C260" s="275"/>
      <c r="D260" s="275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</row>
    <row r="261" ht="10.5" customHeight="1">
      <c r="A261" s="275"/>
      <c r="B261" s="275"/>
      <c r="C261" s="275"/>
      <c r="D261" s="275"/>
      <c r="E261" s="275"/>
      <c r="F261" s="275"/>
      <c r="G261" s="275"/>
      <c r="H261" s="275"/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5"/>
    </row>
    <row r="262" ht="10.5" customHeight="1">
      <c r="A262" s="275"/>
      <c r="B262" s="275"/>
      <c r="C262" s="275"/>
      <c r="D262" s="275"/>
      <c r="E262" s="275"/>
      <c r="F262" s="275"/>
      <c r="G262" s="275"/>
      <c r="H262" s="275"/>
      <c r="I262" s="275"/>
      <c r="J262" s="275"/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</row>
    <row r="263" ht="10.5" customHeight="1">
      <c r="A263" s="275"/>
      <c r="B263" s="275"/>
      <c r="C263" s="275"/>
      <c r="D263" s="275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</row>
    <row r="264" ht="10.5" customHeight="1">
      <c r="A264" s="275"/>
      <c r="B264" s="275"/>
      <c r="C264" s="275"/>
      <c r="D264" s="275"/>
      <c r="E264" s="275"/>
      <c r="F264" s="275"/>
      <c r="G264" s="275"/>
      <c r="H264" s="275"/>
      <c r="I264" s="275"/>
      <c r="J264" s="275"/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</row>
    <row r="265" ht="10.5" customHeight="1">
      <c r="A265" s="275"/>
      <c r="B265" s="275"/>
      <c r="C265" s="275"/>
      <c r="D265" s="275"/>
      <c r="E265" s="275"/>
      <c r="F265" s="275"/>
      <c r="G265" s="275"/>
      <c r="H265" s="275"/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</row>
    <row r="266" ht="10.5" customHeight="1">
      <c r="A266" s="275"/>
      <c r="B266" s="275"/>
      <c r="C266" s="275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</row>
    <row r="267" ht="10.5" customHeight="1">
      <c r="A267" s="275"/>
      <c r="B267" s="275"/>
      <c r="C267" s="275"/>
      <c r="D267" s="275"/>
      <c r="E267" s="275"/>
      <c r="F267" s="275"/>
      <c r="G267" s="275"/>
      <c r="H267" s="275"/>
      <c r="I267" s="275"/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</row>
    <row r="268" ht="10.5" customHeight="1">
      <c r="A268" s="275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</row>
    <row r="269" ht="10.5" customHeight="1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</row>
    <row r="270" ht="10.5" customHeight="1">
      <c r="A270" s="27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</row>
    <row r="271" ht="10.5" customHeight="1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</row>
    <row r="272" ht="10.5" customHeight="1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</row>
    <row r="273" ht="10.5" customHeight="1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</row>
    <row r="274" ht="10.5" customHeight="1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</row>
    <row r="275" ht="10.5" customHeight="1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</row>
    <row r="276" ht="10.5" customHeight="1">
      <c r="A276" s="275"/>
      <c r="B276" s="275"/>
      <c r="C276" s="275"/>
      <c r="D276" s="275"/>
      <c r="E276" s="275"/>
      <c r="F276" s="275"/>
      <c r="G276" s="275"/>
      <c r="H276" s="275"/>
      <c r="I276" s="275"/>
      <c r="J276" s="275"/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</row>
    <row r="277" ht="10.5" customHeight="1">
      <c r="A277" s="275"/>
      <c r="B277" s="275"/>
      <c r="C277" s="275"/>
      <c r="D277" s="275"/>
      <c r="E277" s="275"/>
      <c r="F277" s="275"/>
      <c r="G277" s="275"/>
      <c r="H277" s="275"/>
      <c r="I277" s="275"/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</row>
    <row r="278" ht="10.5" customHeight="1">
      <c r="A278" s="275"/>
      <c r="B278" s="275"/>
      <c r="C278" s="275"/>
      <c r="D278" s="275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</row>
    <row r="279" ht="10.5" customHeight="1">
      <c r="A279" s="275"/>
      <c r="B279" s="275"/>
      <c r="C279" s="275"/>
      <c r="D279" s="275"/>
      <c r="E279" s="275"/>
      <c r="F279" s="275"/>
      <c r="G279" s="275"/>
      <c r="H279" s="275"/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</row>
    <row r="280" ht="10.5" customHeight="1">
      <c r="A280" s="275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</row>
    <row r="281" ht="10.5" customHeight="1">
      <c r="A281" s="275"/>
      <c r="B281" s="275"/>
      <c r="C281" s="275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5"/>
    </row>
    <row r="282" ht="10.5" customHeight="1">
      <c r="A282" s="275"/>
      <c r="B282" s="275"/>
      <c r="C282" s="275"/>
      <c r="D282" s="275"/>
      <c r="E282" s="275"/>
      <c r="F282" s="275"/>
      <c r="G282" s="275"/>
      <c r="H282" s="275"/>
      <c r="I282" s="275"/>
      <c r="J282" s="275"/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</row>
    <row r="283" ht="10.5" customHeight="1">
      <c r="A283" s="275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</row>
    <row r="284" ht="10.5" customHeight="1">
      <c r="A284" s="275"/>
      <c r="B284" s="275"/>
      <c r="C284" s="275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</row>
    <row r="285" ht="10.5" customHeight="1">
      <c r="A285" s="275"/>
      <c r="B285" s="275"/>
      <c r="C285" s="275"/>
      <c r="D285" s="275"/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</row>
    <row r="286" ht="10.5" customHeight="1">
      <c r="A286" s="275"/>
      <c r="B286" s="275"/>
      <c r="C286" s="275"/>
      <c r="D286" s="275"/>
      <c r="E286" s="275"/>
      <c r="F286" s="275"/>
      <c r="G286" s="275"/>
      <c r="H286" s="275"/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</row>
    <row r="287" ht="10.5" customHeight="1">
      <c r="A287" s="275"/>
      <c r="B287" s="275"/>
      <c r="C287" s="275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</row>
    <row r="288" ht="10.5" customHeight="1">
      <c r="A288" s="275"/>
      <c r="B288" s="275"/>
      <c r="C288" s="275"/>
      <c r="D288" s="275"/>
      <c r="E288" s="275"/>
      <c r="F288" s="275"/>
      <c r="G288" s="275"/>
      <c r="H288" s="275"/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</row>
    <row r="289" ht="10.5" customHeight="1">
      <c r="A289" s="275"/>
      <c r="B289" s="275"/>
      <c r="C289" s="275"/>
      <c r="D289" s="275"/>
      <c r="E289" s="275"/>
      <c r="F289" s="275"/>
      <c r="G289" s="275"/>
      <c r="H289" s="275"/>
      <c r="I289" s="275"/>
      <c r="J289" s="275"/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</row>
    <row r="290" ht="10.5" customHeight="1">
      <c r="A290" s="275"/>
      <c r="B290" s="275"/>
      <c r="C290" s="275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</row>
    <row r="291" ht="10.5" customHeight="1">
      <c r="A291" s="275"/>
      <c r="B291" s="275"/>
      <c r="C291" s="275"/>
      <c r="D291" s="275"/>
      <c r="E291" s="275"/>
      <c r="F291" s="275"/>
      <c r="G291" s="275"/>
      <c r="H291" s="275"/>
      <c r="I291" s="275"/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</row>
    <row r="292" ht="10.5" customHeight="1">
      <c r="A292" s="275"/>
      <c r="B292" s="275"/>
      <c r="C292" s="275"/>
      <c r="D292" s="275"/>
      <c r="E292" s="275"/>
      <c r="F292" s="275"/>
      <c r="G292" s="275"/>
      <c r="H292" s="275"/>
      <c r="I292" s="275"/>
      <c r="J292" s="275"/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5"/>
    </row>
    <row r="293" ht="10.5" customHeight="1">
      <c r="A293" s="275"/>
      <c r="B293" s="275"/>
      <c r="C293" s="275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</row>
    <row r="294" ht="10.5" customHeight="1">
      <c r="A294" s="275"/>
      <c r="B294" s="275"/>
      <c r="C294" s="275"/>
      <c r="D294" s="275"/>
      <c r="E294" s="275"/>
      <c r="F294" s="275"/>
      <c r="G294" s="275"/>
      <c r="H294" s="275"/>
      <c r="I294" s="275"/>
      <c r="J294" s="275"/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5"/>
    </row>
    <row r="295" ht="10.5" customHeight="1">
      <c r="A295" s="275"/>
      <c r="B295" s="275"/>
      <c r="C295" s="275"/>
      <c r="D295" s="275"/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</row>
    <row r="296" ht="10.5" customHeight="1">
      <c r="A296" s="275"/>
      <c r="B296" s="275"/>
      <c r="C296" s="275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</row>
    <row r="297" ht="10.5" customHeight="1">
      <c r="A297" s="275"/>
      <c r="B297" s="275"/>
      <c r="C297" s="275"/>
      <c r="D297" s="275"/>
      <c r="E297" s="275"/>
      <c r="F297" s="275"/>
      <c r="G297" s="275"/>
      <c r="H297" s="275"/>
      <c r="I297" s="275"/>
      <c r="J297" s="275"/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</row>
    <row r="298" ht="10.5" customHeight="1">
      <c r="A298" s="275"/>
      <c r="B298" s="275"/>
      <c r="C298" s="275"/>
      <c r="D298" s="275"/>
      <c r="E298" s="275"/>
      <c r="F298" s="275"/>
      <c r="G298" s="275"/>
      <c r="H298" s="275"/>
      <c r="I298" s="275"/>
      <c r="J298" s="275"/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</row>
    <row r="299" ht="10.5" customHeight="1">
      <c r="A299" s="275"/>
      <c r="B299" s="275"/>
      <c r="C299" s="275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</row>
    <row r="300" ht="10.5" customHeight="1">
      <c r="A300" s="275"/>
      <c r="B300" s="275"/>
      <c r="C300" s="275"/>
      <c r="D300" s="275"/>
      <c r="E300" s="275"/>
      <c r="F300" s="275"/>
      <c r="G300" s="275"/>
      <c r="H300" s="275"/>
      <c r="I300" s="275"/>
      <c r="J300" s="275"/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</row>
    <row r="301" ht="10.5" customHeight="1">
      <c r="A301" s="275"/>
      <c r="B301" s="275"/>
      <c r="C301" s="275"/>
      <c r="D301" s="275"/>
      <c r="E301" s="275"/>
      <c r="F301" s="275"/>
      <c r="G301" s="275"/>
      <c r="H301" s="275"/>
      <c r="I301" s="275"/>
      <c r="J301" s="275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</row>
    <row r="302" ht="10.5" customHeight="1">
      <c r="A302" s="275"/>
      <c r="B302" s="275"/>
      <c r="C302" s="275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</row>
    <row r="303" ht="10.5" customHeight="1">
      <c r="A303" s="275"/>
      <c r="B303" s="275"/>
      <c r="C303" s="275"/>
      <c r="D303" s="275"/>
      <c r="E303" s="275"/>
      <c r="F303" s="275"/>
      <c r="G303" s="275"/>
      <c r="H303" s="275"/>
      <c r="I303" s="275"/>
      <c r="J303" s="275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</row>
    <row r="304" ht="10.5" customHeight="1">
      <c r="A304" s="275"/>
      <c r="B304" s="275"/>
      <c r="C304" s="275"/>
      <c r="D304" s="275"/>
      <c r="E304" s="275"/>
      <c r="F304" s="275"/>
      <c r="G304" s="275"/>
      <c r="H304" s="275"/>
      <c r="I304" s="275"/>
      <c r="J304" s="275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</row>
    <row r="305" ht="10.5" customHeight="1">
      <c r="A305" s="275"/>
      <c r="B305" s="275"/>
      <c r="C305" s="275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</row>
    <row r="306" ht="10.5" customHeight="1">
      <c r="A306" s="275"/>
      <c r="B306" s="275"/>
      <c r="C306" s="275"/>
      <c r="D306" s="275"/>
      <c r="E306" s="275"/>
      <c r="F306" s="275"/>
      <c r="G306" s="275"/>
      <c r="H306" s="275"/>
      <c r="I306" s="275"/>
      <c r="J306" s="275"/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</row>
    <row r="307" ht="10.5" customHeight="1">
      <c r="A307" s="275"/>
      <c r="B307" s="275"/>
      <c r="C307" s="275"/>
      <c r="D307" s="275"/>
      <c r="E307" s="275"/>
      <c r="F307" s="275"/>
      <c r="G307" s="275"/>
      <c r="H307" s="275"/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</row>
    <row r="308" ht="10.5" customHeight="1">
      <c r="A308" s="275"/>
      <c r="B308" s="275"/>
      <c r="C308" s="275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5"/>
    </row>
    <row r="309" ht="10.5" customHeight="1">
      <c r="A309" s="275"/>
      <c r="B309" s="275"/>
      <c r="C309" s="275"/>
      <c r="D309" s="275"/>
      <c r="E309" s="275"/>
      <c r="F309" s="275"/>
      <c r="G309" s="275"/>
      <c r="H309" s="275"/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</row>
    <row r="310" ht="10.5" customHeight="1">
      <c r="A310" s="275"/>
      <c r="B310" s="275"/>
      <c r="C310" s="275"/>
      <c r="D310" s="275"/>
      <c r="E310" s="275"/>
      <c r="F310" s="275"/>
      <c r="G310" s="275"/>
      <c r="H310" s="275"/>
      <c r="I310" s="275"/>
      <c r="J310" s="275"/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</row>
    <row r="311" ht="10.5" customHeight="1">
      <c r="A311" s="275"/>
      <c r="B311" s="275"/>
      <c r="C311" s="275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</row>
    <row r="312" ht="10.5" customHeight="1">
      <c r="A312" s="275"/>
      <c r="B312" s="275"/>
      <c r="C312" s="275"/>
      <c r="D312" s="275"/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</row>
    <row r="313" ht="10.5" customHeight="1">
      <c r="A313" s="275"/>
      <c r="B313" s="275"/>
      <c r="C313" s="275"/>
      <c r="D313" s="275"/>
      <c r="E313" s="275"/>
      <c r="F313" s="275"/>
      <c r="G313" s="275"/>
      <c r="H313" s="275"/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</row>
    <row r="314" ht="10.5" customHeight="1">
      <c r="A314" s="275"/>
      <c r="B314" s="275"/>
      <c r="C314" s="275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</row>
    <row r="315" ht="10.5" customHeight="1">
      <c r="A315" s="275"/>
      <c r="B315" s="275"/>
      <c r="C315" s="275"/>
      <c r="D315" s="275"/>
      <c r="E315" s="275"/>
      <c r="F315" s="275"/>
      <c r="G315" s="275"/>
      <c r="H315" s="275"/>
      <c r="I315" s="275"/>
      <c r="J315" s="275"/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</row>
    <row r="316" ht="10.5" customHeight="1">
      <c r="A316" s="275"/>
      <c r="B316" s="275"/>
      <c r="C316" s="275"/>
      <c r="D316" s="275"/>
      <c r="E316" s="275"/>
      <c r="F316" s="275"/>
      <c r="G316" s="275"/>
      <c r="H316" s="275"/>
      <c r="I316" s="275"/>
      <c r="J316" s="275"/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</row>
    <row r="317" ht="10.5" customHeight="1">
      <c r="A317" s="275"/>
      <c r="B317" s="275"/>
      <c r="C317" s="275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</row>
    <row r="318" ht="10.5" customHeight="1">
      <c r="A318" s="275"/>
      <c r="B318" s="275"/>
      <c r="C318" s="275"/>
      <c r="D318" s="275"/>
      <c r="E318" s="275"/>
      <c r="F318" s="275"/>
      <c r="G318" s="275"/>
      <c r="H318" s="275"/>
      <c r="I318" s="275"/>
      <c r="J318" s="275"/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</row>
    <row r="319" ht="10.5" customHeight="1">
      <c r="A319" s="275"/>
      <c r="B319" s="275"/>
      <c r="C319" s="275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</row>
    <row r="320" ht="10.5" customHeight="1">
      <c r="A320" s="275"/>
      <c r="B320" s="275"/>
      <c r="C320" s="275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</row>
    <row r="321" ht="10.5" customHeight="1">
      <c r="A321" s="275"/>
      <c r="B321" s="275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</row>
    <row r="322" ht="10.5" customHeight="1">
      <c r="A322" s="275"/>
      <c r="B322" s="275"/>
      <c r="C322" s="275"/>
      <c r="D322" s="275"/>
      <c r="E322" s="275"/>
      <c r="F322" s="275"/>
      <c r="G322" s="275"/>
      <c r="H322" s="275"/>
      <c r="I322" s="275"/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</row>
    <row r="323" ht="10.5" customHeight="1">
      <c r="A323" s="275"/>
      <c r="B323" s="275"/>
      <c r="C323" s="275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</row>
    <row r="324" ht="10.5" customHeight="1">
      <c r="A324" s="275"/>
      <c r="B324" s="275"/>
      <c r="C324" s="275"/>
      <c r="D324" s="275"/>
      <c r="E324" s="275"/>
      <c r="F324" s="275"/>
      <c r="G324" s="275"/>
      <c r="H324" s="275"/>
      <c r="I324" s="275"/>
      <c r="J324" s="275"/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</row>
    <row r="325" ht="10.5" customHeight="1">
      <c r="A325" s="275"/>
      <c r="B325" s="275"/>
      <c r="C325" s="275"/>
      <c r="D325" s="275"/>
      <c r="E325" s="275"/>
      <c r="F325" s="275"/>
      <c r="G325" s="275"/>
      <c r="H325" s="275"/>
      <c r="I325" s="275"/>
      <c r="J325" s="275"/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</row>
    <row r="326" ht="10.5" customHeight="1">
      <c r="A326" s="275"/>
      <c r="B326" s="275"/>
      <c r="C326" s="275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</row>
    <row r="327" ht="10.5" customHeight="1">
      <c r="A327" s="275"/>
      <c r="B327" s="275"/>
      <c r="C327" s="275"/>
      <c r="D327" s="275"/>
      <c r="E327" s="275"/>
      <c r="F327" s="275"/>
      <c r="G327" s="275"/>
      <c r="H327" s="275"/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</row>
    <row r="328" ht="10.5" customHeight="1">
      <c r="A328" s="275"/>
      <c r="B328" s="275"/>
      <c r="C328" s="275"/>
      <c r="D328" s="275"/>
      <c r="E328" s="275"/>
      <c r="F328" s="275"/>
      <c r="G328" s="275"/>
      <c r="H328" s="275"/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</row>
    <row r="329" ht="10.5" customHeight="1">
      <c r="A329" s="275"/>
      <c r="B329" s="275"/>
      <c r="C329" s="275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</row>
    <row r="330" ht="10.5" customHeight="1">
      <c r="A330" s="275"/>
      <c r="B330" s="275"/>
      <c r="C330" s="275"/>
      <c r="D330" s="275"/>
      <c r="E330" s="275"/>
      <c r="F330" s="275"/>
      <c r="G330" s="275"/>
      <c r="H330" s="275"/>
      <c r="I330" s="275"/>
      <c r="J330" s="275"/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</row>
    <row r="331" ht="10.5" customHeight="1">
      <c r="A331" s="275"/>
      <c r="B331" s="275"/>
      <c r="C331" s="275"/>
      <c r="D331" s="275"/>
      <c r="E331" s="275"/>
      <c r="F331" s="275"/>
      <c r="G331" s="275"/>
      <c r="H331" s="275"/>
      <c r="I331" s="275"/>
      <c r="J331" s="275"/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</row>
    <row r="332" ht="10.5" customHeight="1">
      <c r="A332" s="275"/>
      <c r="B332" s="275"/>
      <c r="C332" s="275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</row>
    <row r="333" ht="10.5" customHeight="1">
      <c r="A333" s="275"/>
      <c r="B333" s="275"/>
      <c r="C333" s="275"/>
      <c r="D333" s="275"/>
      <c r="E333" s="275"/>
      <c r="F333" s="275"/>
      <c r="G333" s="275"/>
      <c r="H333" s="275"/>
      <c r="I333" s="275"/>
      <c r="J333" s="275"/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</row>
    <row r="334" ht="10.5" customHeight="1">
      <c r="A334" s="275"/>
      <c r="B334" s="275"/>
      <c r="C334" s="275"/>
      <c r="D334" s="275"/>
      <c r="E334" s="275"/>
      <c r="F334" s="275"/>
      <c r="G334" s="275"/>
      <c r="H334" s="275"/>
      <c r="I334" s="275"/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</row>
    <row r="335" ht="10.5" customHeight="1">
      <c r="A335" s="275"/>
      <c r="B335" s="275"/>
      <c r="C335" s="275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</row>
    <row r="336" ht="10.5" customHeight="1">
      <c r="A336" s="275"/>
      <c r="B336" s="275"/>
      <c r="C336" s="275"/>
      <c r="D336" s="275"/>
      <c r="E336" s="275"/>
      <c r="F336" s="275"/>
      <c r="G336" s="275"/>
      <c r="H336" s="275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</row>
    <row r="337" ht="10.5" customHeight="1">
      <c r="A337" s="275"/>
      <c r="B337" s="275"/>
      <c r="C337" s="275"/>
      <c r="D337" s="275"/>
      <c r="E337" s="275"/>
      <c r="F337" s="275"/>
      <c r="G337" s="275"/>
      <c r="H337" s="275"/>
      <c r="I337" s="275"/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</row>
    <row r="338" ht="10.5" customHeight="1">
      <c r="A338" s="275"/>
      <c r="B338" s="275"/>
      <c r="C338" s="275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</row>
    <row r="339" ht="10.5" customHeight="1">
      <c r="A339" s="275"/>
      <c r="B339" s="275"/>
      <c r="C339" s="275"/>
      <c r="D339" s="275"/>
      <c r="E339" s="275"/>
      <c r="F339" s="275"/>
      <c r="G339" s="275"/>
      <c r="H339" s="275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</row>
    <row r="340" ht="10.5" customHeight="1">
      <c r="A340" s="275"/>
      <c r="B340" s="275"/>
      <c r="C340" s="275"/>
      <c r="D340" s="275"/>
      <c r="E340" s="275"/>
      <c r="F340" s="275"/>
      <c r="G340" s="275"/>
      <c r="H340" s="275"/>
      <c r="I340" s="275"/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</row>
    <row r="341" ht="10.5" customHeight="1">
      <c r="A341" s="275"/>
      <c r="B341" s="275"/>
      <c r="C341" s="275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</row>
    <row r="342" ht="10.5" customHeight="1">
      <c r="A342" s="275"/>
      <c r="B342" s="275"/>
      <c r="C342" s="275"/>
      <c r="D342" s="275"/>
      <c r="E342" s="275"/>
      <c r="F342" s="275"/>
      <c r="G342" s="275"/>
      <c r="H342" s="275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</row>
    <row r="343" ht="10.5" customHeight="1">
      <c r="A343" s="275"/>
      <c r="B343" s="275"/>
      <c r="C343" s="275"/>
      <c r="D343" s="275"/>
      <c r="E343" s="275"/>
      <c r="F343" s="275"/>
      <c r="G343" s="275"/>
      <c r="H343" s="275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</row>
    <row r="344" ht="10.5" customHeight="1">
      <c r="A344" s="275"/>
      <c r="B344" s="275"/>
      <c r="C344" s="275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</row>
    <row r="345" ht="10.5" customHeight="1">
      <c r="A345" s="275"/>
      <c r="B345" s="275"/>
      <c r="C345" s="275"/>
      <c r="D345" s="275"/>
      <c r="E345" s="275"/>
      <c r="F345" s="275"/>
      <c r="G345" s="275"/>
      <c r="H345" s="275"/>
      <c r="I345" s="275"/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</row>
    <row r="346" ht="10.5" customHeight="1">
      <c r="A346" s="275"/>
      <c r="B346" s="275"/>
      <c r="C346" s="275"/>
      <c r="D346" s="275"/>
      <c r="E346" s="275"/>
      <c r="F346" s="275"/>
      <c r="G346" s="275"/>
      <c r="H346" s="275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</row>
    <row r="347" ht="10.5" customHeight="1">
      <c r="A347" s="275"/>
      <c r="B347" s="275"/>
      <c r="C347" s="275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</row>
    <row r="348" ht="10.5" customHeight="1">
      <c r="A348" s="275"/>
      <c r="B348" s="275"/>
      <c r="C348" s="275"/>
      <c r="D348" s="275"/>
      <c r="E348" s="275"/>
      <c r="F348" s="275"/>
      <c r="G348" s="275"/>
      <c r="H348" s="275"/>
      <c r="I348" s="275"/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</row>
    <row r="349" ht="10.5" customHeight="1">
      <c r="A349" s="275"/>
      <c r="B349" s="275"/>
      <c r="C349" s="275"/>
      <c r="D349" s="275"/>
      <c r="E349" s="275"/>
      <c r="F349" s="275"/>
      <c r="G349" s="275"/>
      <c r="H349" s="275"/>
      <c r="I349" s="275"/>
      <c r="J349" s="275"/>
      <c r="K349" s="275"/>
      <c r="L349" s="275"/>
      <c r="M349" s="275"/>
      <c r="N349" s="275"/>
      <c r="O349" s="275"/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</row>
    <row r="350" ht="10.5" customHeight="1">
      <c r="A350" s="275"/>
      <c r="B350" s="275"/>
      <c r="C350" s="275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</row>
    <row r="351" ht="10.5" customHeight="1">
      <c r="A351" s="275"/>
      <c r="B351" s="275"/>
      <c r="C351" s="275"/>
      <c r="D351" s="275"/>
      <c r="E351" s="275"/>
      <c r="F351" s="275"/>
      <c r="G351" s="275"/>
      <c r="H351" s="275"/>
      <c r="I351" s="275"/>
      <c r="J351" s="275"/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</row>
    <row r="352" ht="10.5" customHeight="1">
      <c r="A352" s="275"/>
      <c r="B352" s="275"/>
      <c r="C352" s="275"/>
      <c r="D352" s="275"/>
      <c r="E352" s="275"/>
      <c r="F352" s="275"/>
      <c r="G352" s="275"/>
      <c r="H352" s="275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</row>
    <row r="353" ht="10.5" customHeight="1">
      <c r="A353" s="275"/>
      <c r="B353" s="275"/>
      <c r="C353" s="275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</row>
    <row r="354" ht="10.5" customHeight="1">
      <c r="A354" s="275"/>
      <c r="B354" s="275"/>
      <c r="C354" s="275"/>
      <c r="D354" s="275"/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5"/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</row>
    <row r="355" ht="10.5" customHeight="1">
      <c r="A355" s="275"/>
      <c r="B355" s="275"/>
      <c r="C355" s="275"/>
      <c r="D355" s="275"/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</row>
    <row r="356" ht="10.5" customHeight="1">
      <c r="A356" s="275"/>
      <c r="B356" s="275"/>
      <c r="C356" s="275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</row>
    <row r="357" ht="10.5" customHeight="1">
      <c r="A357" s="275"/>
      <c r="B357" s="275"/>
      <c r="C357" s="275"/>
      <c r="D357" s="275"/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5"/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</row>
    <row r="358" ht="10.5" customHeight="1">
      <c r="A358" s="275"/>
      <c r="B358" s="275"/>
      <c r="C358" s="275"/>
      <c r="D358" s="275"/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5"/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</row>
    <row r="359" ht="10.5" customHeight="1">
      <c r="A359" s="275"/>
      <c r="B359" s="275"/>
      <c r="C359" s="275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</row>
    <row r="360" ht="10.5" customHeight="1">
      <c r="A360" s="275"/>
      <c r="B360" s="275"/>
      <c r="C360" s="275"/>
      <c r="D360" s="275"/>
      <c r="E360" s="275"/>
      <c r="F360" s="275"/>
      <c r="G360" s="275"/>
      <c r="H360" s="275"/>
      <c r="I360" s="275"/>
      <c r="J360" s="275"/>
      <c r="K360" s="275"/>
      <c r="L360" s="275"/>
      <c r="M360" s="275"/>
      <c r="N360" s="275"/>
      <c r="O360" s="275"/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</row>
    <row r="361" ht="10.5" customHeight="1">
      <c r="A361" s="275"/>
      <c r="B361" s="275"/>
      <c r="C361" s="275"/>
      <c r="D361" s="275"/>
      <c r="E361" s="275"/>
      <c r="F361" s="275"/>
      <c r="G361" s="275"/>
      <c r="H361" s="275"/>
      <c r="I361" s="275"/>
      <c r="J361" s="275"/>
      <c r="K361" s="275"/>
      <c r="L361" s="275"/>
      <c r="M361" s="275"/>
      <c r="N361" s="275"/>
      <c r="O361" s="275"/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</row>
    <row r="362" ht="10.5" customHeight="1">
      <c r="A362" s="275"/>
      <c r="B362" s="275"/>
      <c r="C362" s="275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</row>
    <row r="363" ht="10.5" customHeight="1">
      <c r="A363" s="275"/>
      <c r="B363" s="275"/>
      <c r="C363" s="275"/>
      <c r="D363" s="275"/>
      <c r="E363" s="275"/>
      <c r="F363" s="275"/>
      <c r="G363" s="275"/>
      <c r="H363" s="275"/>
      <c r="I363" s="275"/>
      <c r="J363" s="275"/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</row>
    <row r="364" ht="10.5" customHeight="1">
      <c r="A364" s="275"/>
      <c r="B364" s="275"/>
      <c r="C364" s="275"/>
      <c r="D364" s="275"/>
      <c r="E364" s="275"/>
      <c r="F364" s="275"/>
      <c r="G364" s="275"/>
      <c r="H364" s="275"/>
      <c r="I364" s="275"/>
      <c r="J364" s="275"/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</row>
    <row r="365" ht="10.5" customHeight="1">
      <c r="A365" s="275"/>
      <c r="B365" s="275"/>
      <c r="C365" s="275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</row>
    <row r="366" ht="10.5" customHeight="1">
      <c r="A366" s="275"/>
      <c r="B366" s="275"/>
      <c r="C366" s="275"/>
      <c r="D366" s="275"/>
      <c r="E366" s="275"/>
      <c r="F366" s="275"/>
      <c r="G366" s="275"/>
      <c r="H366" s="275"/>
      <c r="I366" s="275"/>
      <c r="J366" s="275"/>
      <c r="K366" s="275"/>
      <c r="L366" s="275"/>
      <c r="M366" s="275"/>
      <c r="N366" s="275"/>
      <c r="O366" s="275"/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</row>
    <row r="367" ht="10.5" customHeight="1">
      <c r="A367" s="275"/>
      <c r="B367" s="275"/>
      <c r="C367" s="275"/>
      <c r="D367" s="275"/>
      <c r="E367" s="275"/>
      <c r="F367" s="275"/>
      <c r="G367" s="275"/>
      <c r="H367" s="275"/>
      <c r="I367" s="275"/>
      <c r="J367" s="275"/>
      <c r="K367" s="275"/>
      <c r="L367" s="275"/>
      <c r="M367" s="275"/>
      <c r="N367" s="275"/>
      <c r="O367" s="275"/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</row>
    <row r="368" ht="10.5" customHeight="1">
      <c r="A368" s="275"/>
      <c r="B368" s="275"/>
      <c r="C368" s="275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</row>
    <row r="369" ht="10.5" customHeight="1">
      <c r="A369" s="275"/>
      <c r="B369" s="275"/>
      <c r="C369" s="275"/>
      <c r="D369" s="275"/>
      <c r="E369" s="275"/>
      <c r="F369" s="275"/>
      <c r="G369" s="275"/>
      <c r="H369" s="275"/>
      <c r="I369" s="275"/>
      <c r="J369" s="275"/>
      <c r="K369" s="275"/>
      <c r="L369" s="275"/>
      <c r="M369" s="275"/>
      <c r="N369" s="275"/>
      <c r="O369" s="275"/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</row>
    <row r="370" ht="10.5" customHeight="1">
      <c r="A370" s="275"/>
      <c r="B370" s="275"/>
      <c r="C370" s="275"/>
      <c r="D370" s="275"/>
      <c r="E370" s="275"/>
      <c r="F370" s="275"/>
      <c r="G370" s="275"/>
      <c r="H370" s="275"/>
      <c r="I370" s="275"/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</row>
    <row r="371" ht="10.5" customHeight="1">
      <c r="A371" s="275"/>
      <c r="B371" s="275"/>
      <c r="C371" s="275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</row>
    <row r="372" ht="10.5" customHeight="1">
      <c r="A372" s="275"/>
      <c r="B372" s="275"/>
      <c r="C372" s="275"/>
      <c r="D372" s="275"/>
      <c r="E372" s="275"/>
      <c r="F372" s="275"/>
      <c r="G372" s="275"/>
      <c r="H372" s="275"/>
      <c r="I372" s="275"/>
      <c r="J372" s="275"/>
      <c r="K372" s="275"/>
      <c r="L372" s="275"/>
      <c r="M372" s="275"/>
      <c r="N372" s="275"/>
      <c r="O372" s="275"/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</row>
    <row r="373" ht="10.5" customHeight="1">
      <c r="A373" s="275"/>
      <c r="B373" s="275"/>
      <c r="C373" s="275"/>
      <c r="D373" s="275"/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</row>
    <row r="374" ht="10.5" customHeight="1">
      <c r="A374" s="275"/>
      <c r="B374" s="275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</row>
    <row r="375" ht="10.5" customHeight="1">
      <c r="A375" s="275"/>
      <c r="B375" s="275"/>
      <c r="C375" s="275"/>
      <c r="D375" s="275"/>
      <c r="E375" s="275"/>
      <c r="F375" s="275"/>
      <c r="G375" s="275"/>
      <c r="H375" s="275"/>
      <c r="I375" s="275"/>
      <c r="J375" s="275"/>
      <c r="K375" s="275"/>
      <c r="L375" s="275"/>
      <c r="M375" s="275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</row>
    <row r="376" ht="10.5" customHeight="1">
      <c r="A376" s="275"/>
      <c r="B376" s="275"/>
      <c r="C376" s="275"/>
      <c r="D376" s="275"/>
      <c r="E376" s="275"/>
      <c r="F376" s="275"/>
      <c r="G376" s="275"/>
      <c r="H376" s="275"/>
      <c r="I376" s="275"/>
      <c r="J376" s="275"/>
      <c r="K376" s="275"/>
      <c r="L376" s="275"/>
      <c r="M376" s="275"/>
      <c r="N376" s="275"/>
      <c r="O376" s="275"/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</row>
    <row r="377" ht="10.5" customHeight="1">
      <c r="A377" s="275"/>
      <c r="B377" s="275"/>
      <c r="C377" s="275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</row>
    <row r="378" ht="10.5" customHeight="1">
      <c r="A378" s="275"/>
      <c r="B378" s="275"/>
      <c r="C378" s="275"/>
      <c r="D378" s="275"/>
      <c r="E378" s="275"/>
      <c r="F378" s="275"/>
      <c r="G378" s="275"/>
      <c r="H378" s="275"/>
      <c r="I378" s="275"/>
      <c r="J378" s="275"/>
      <c r="K378" s="275"/>
      <c r="L378" s="275"/>
      <c r="M378" s="275"/>
      <c r="N378" s="275"/>
      <c r="O378" s="275"/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</row>
    <row r="379" ht="10.5" customHeight="1">
      <c r="A379" s="275"/>
      <c r="B379" s="275"/>
      <c r="C379" s="275"/>
      <c r="D379" s="275"/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</row>
    <row r="380" ht="10.5" customHeight="1">
      <c r="A380" s="275"/>
      <c r="B380" s="275"/>
      <c r="C380" s="275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</row>
    <row r="381" ht="10.5" customHeight="1">
      <c r="A381" s="275"/>
      <c r="B381" s="275"/>
      <c r="C381" s="275"/>
      <c r="D381" s="275"/>
      <c r="E381" s="275"/>
      <c r="F381" s="275"/>
      <c r="G381" s="275"/>
      <c r="H381" s="275"/>
      <c r="I381" s="275"/>
      <c r="J381" s="275"/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</row>
    <row r="382" ht="10.5" customHeight="1">
      <c r="A382" s="275"/>
      <c r="B382" s="275"/>
      <c r="C382" s="275"/>
      <c r="D382" s="275"/>
      <c r="E382" s="275"/>
      <c r="F382" s="275"/>
      <c r="G382" s="275"/>
      <c r="H382" s="275"/>
      <c r="I382" s="275"/>
      <c r="J382" s="275"/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</row>
    <row r="383" ht="10.5" customHeight="1">
      <c r="A383" s="275"/>
      <c r="B383" s="275"/>
      <c r="C383" s="275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</row>
    <row r="384" ht="10.5" customHeight="1">
      <c r="A384" s="275"/>
      <c r="B384" s="275"/>
      <c r="C384" s="275"/>
      <c r="D384" s="275"/>
      <c r="E384" s="275"/>
      <c r="F384" s="275"/>
      <c r="G384" s="275"/>
      <c r="H384" s="275"/>
      <c r="I384" s="275"/>
      <c r="J384" s="275"/>
      <c r="K384" s="275"/>
      <c r="L384" s="275"/>
      <c r="M384" s="275"/>
      <c r="N384" s="275"/>
      <c r="O384" s="275"/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</row>
    <row r="385" ht="10.5" customHeight="1">
      <c r="A385" s="275"/>
      <c r="B385" s="275"/>
      <c r="C385" s="275"/>
      <c r="D385" s="275"/>
      <c r="E385" s="275"/>
      <c r="F385" s="275"/>
      <c r="G385" s="275"/>
      <c r="H385" s="275"/>
      <c r="I385" s="275"/>
      <c r="J385" s="275"/>
      <c r="K385" s="275"/>
      <c r="L385" s="275"/>
      <c r="M385" s="275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</row>
    <row r="386" ht="10.5" customHeight="1">
      <c r="A386" s="275"/>
      <c r="B386" s="275"/>
      <c r="C386" s="275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</row>
    <row r="387" ht="10.5" customHeight="1">
      <c r="A387" s="275"/>
      <c r="B387" s="275"/>
      <c r="C387" s="275"/>
      <c r="D387" s="275"/>
      <c r="E387" s="275"/>
      <c r="F387" s="275"/>
      <c r="G387" s="275"/>
      <c r="H387" s="275"/>
      <c r="I387" s="275"/>
      <c r="J387" s="275"/>
      <c r="K387" s="275"/>
      <c r="L387" s="275"/>
      <c r="M387" s="275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</row>
    <row r="388" ht="10.5" customHeight="1">
      <c r="A388" s="275"/>
      <c r="B388" s="275"/>
      <c r="C388" s="275"/>
      <c r="D388" s="275"/>
      <c r="E388" s="275"/>
      <c r="F388" s="275"/>
      <c r="G388" s="275"/>
      <c r="H388" s="275"/>
      <c r="I388" s="275"/>
      <c r="J388" s="275"/>
      <c r="K388" s="275"/>
      <c r="L388" s="275"/>
      <c r="M388" s="275"/>
      <c r="N388" s="275"/>
      <c r="O388" s="275"/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</row>
    <row r="389" ht="10.5" customHeight="1">
      <c r="A389" s="275"/>
      <c r="B389" s="275"/>
      <c r="C389" s="275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</row>
    <row r="390" ht="10.5" customHeight="1">
      <c r="A390" s="275"/>
      <c r="B390" s="275"/>
      <c r="C390" s="275"/>
      <c r="D390" s="275"/>
      <c r="E390" s="275"/>
      <c r="F390" s="275"/>
      <c r="G390" s="275"/>
      <c r="H390" s="275"/>
      <c r="I390" s="275"/>
      <c r="J390" s="275"/>
      <c r="K390" s="275"/>
      <c r="L390" s="275"/>
      <c r="M390" s="275"/>
      <c r="N390" s="275"/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</row>
    <row r="391" ht="10.5" customHeight="1">
      <c r="A391" s="275"/>
      <c r="B391" s="275"/>
      <c r="C391" s="275"/>
      <c r="D391" s="275"/>
      <c r="E391" s="275"/>
      <c r="F391" s="275"/>
      <c r="G391" s="275"/>
      <c r="H391" s="275"/>
      <c r="I391" s="275"/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</row>
    <row r="392" ht="10.5" customHeight="1">
      <c r="A392" s="275"/>
      <c r="B392" s="275"/>
      <c r="C392" s="275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</row>
    <row r="393" ht="10.5" customHeight="1">
      <c r="A393" s="275"/>
      <c r="B393" s="275"/>
      <c r="C393" s="275"/>
      <c r="D393" s="275"/>
      <c r="E393" s="275"/>
      <c r="F393" s="275"/>
      <c r="G393" s="275"/>
      <c r="H393" s="275"/>
      <c r="I393" s="275"/>
      <c r="J393" s="275"/>
      <c r="K393" s="275"/>
      <c r="L393" s="275"/>
      <c r="M393" s="275"/>
      <c r="N393" s="275"/>
      <c r="O393" s="275"/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5"/>
    </row>
    <row r="394" ht="10.5" customHeight="1">
      <c r="A394" s="275"/>
      <c r="B394" s="275"/>
      <c r="C394" s="275"/>
      <c r="D394" s="275"/>
      <c r="E394" s="275"/>
      <c r="F394" s="275"/>
      <c r="G394" s="275"/>
      <c r="H394" s="275"/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</row>
    <row r="395" ht="10.5" customHeight="1">
      <c r="A395" s="275"/>
      <c r="B395" s="275"/>
      <c r="C395" s="275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</row>
    <row r="396" ht="10.5" customHeight="1">
      <c r="A396" s="275"/>
      <c r="B396" s="275"/>
      <c r="C396" s="275"/>
      <c r="D396" s="275"/>
      <c r="E396" s="275"/>
      <c r="F396" s="275"/>
      <c r="G396" s="275"/>
      <c r="H396" s="275"/>
      <c r="I396" s="275"/>
      <c r="J396" s="275"/>
      <c r="K396" s="275"/>
      <c r="L396" s="275"/>
      <c r="M396" s="275"/>
      <c r="N396" s="275"/>
      <c r="O396" s="275"/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</row>
    <row r="397" ht="10.5" customHeight="1">
      <c r="A397" s="275"/>
      <c r="B397" s="275"/>
      <c r="C397" s="275"/>
      <c r="D397" s="275"/>
      <c r="E397" s="275"/>
      <c r="F397" s="275"/>
      <c r="G397" s="275"/>
      <c r="H397" s="275"/>
      <c r="I397" s="275"/>
      <c r="J397" s="275"/>
      <c r="K397" s="275"/>
      <c r="L397" s="275"/>
      <c r="M397" s="275"/>
      <c r="N397" s="275"/>
      <c r="O397" s="275"/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</row>
    <row r="398" ht="10.5" customHeight="1">
      <c r="A398" s="275"/>
      <c r="B398" s="275"/>
      <c r="C398" s="275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</row>
    <row r="399" ht="10.5" customHeight="1">
      <c r="A399" s="275"/>
      <c r="B399" s="275"/>
      <c r="C399" s="275"/>
      <c r="D399" s="275"/>
      <c r="E399" s="275"/>
      <c r="F399" s="275"/>
      <c r="G399" s="275"/>
      <c r="H399" s="275"/>
      <c r="I399" s="275"/>
      <c r="J399" s="275"/>
      <c r="K399" s="275"/>
      <c r="L399" s="275"/>
      <c r="M399" s="275"/>
      <c r="N399" s="275"/>
      <c r="O399" s="275"/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</row>
    <row r="400" ht="10.5" customHeight="1">
      <c r="A400" s="275"/>
      <c r="B400" s="275"/>
      <c r="C400" s="275"/>
      <c r="D400" s="275"/>
      <c r="E400" s="275"/>
      <c r="F400" s="275"/>
      <c r="G400" s="275"/>
      <c r="H400" s="275"/>
      <c r="I400" s="275"/>
      <c r="J400" s="275"/>
      <c r="K400" s="275"/>
      <c r="L400" s="275"/>
      <c r="M400" s="275"/>
      <c r="N400" s="275"/>
      <c r="O400" s="275"/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</row>
    <row r="401" ht="10.5" customHeight="1">
      <c r="A401" s="275"/>
      <c r="B401" s="275"/>
      <c r="C401" s="275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</row>
    <row r="402" ht="10.5" customHeight="1">
      <c r="A402" s="275"/>
      <c r="B402" s="275"/>
      <c r="C402" s="275"/>
      <c r="D402" s="275"/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</row>
    <row r="403" ht="10.5" customHeight="1">
      <c r="A403" s="275"/>
      <c r="B403" s="275"/>
      <c r="C403" s="275"/>
      <c r="D403" s="275"/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</row>
    <row r="404" ht="10.5" customHeight="1">
      <c r="A404" s="275"/>
      <c r="B404" s="275"/>
      <c r="C404" s="275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</row>
    <row r="405" ht="10.5" customHeight="1">
      <c r="A405" s="275"/>
      <c r="B405" s="275"/>
      <c r="C405" s="275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5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</row>
    <row r="406" ht="10.5" customHeight="1">
      <c r="A406" s="275"/>
      <c r="B406" s="275"/>
      <c r="C406" s="275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5"/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</row>
    <row r="407" ht="10.5" customHeight="1">
      <c r="A407" s="275"/>
      <c r="B407" s="275"/>
      <c r="C407" s="275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</row>
    <row r="408" ht="10.5" customHeight="1">
      <c r="A408" s="275"/>
      <c r="B408" s="275"/>
      <c r="C408" s="275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5"/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</row>
    <row r="409" ht="10.5" customHeight="1">
      <c r="A409" s="275"/>
      <c r="B409" s="275"/>
      <c r="C409" s="275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5"/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</row>
    <row r="410" ht="10.5" customHeight="1">
      <c r="A410" s="275"/>
      <c r="B410" s="275"/>
      <c r="C410" s="275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</row>
    <row r="411" ht="10.5" customHeight="1">
      <c r="A411" s="275"/>
      <c r="B411" s="275"/>
      <c r="C411" s="275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</row>
    <row r="412" ht="10.5" customHeight="1">
      <c r="A412" s="275"/>
      <c r="B412" s="275"/>
      <c r="C412" s="275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</row>
    <row r="413" ht="10.5" customHeight="1">
      <c r="A413" s="275"/>
      <c r="B413" s="275"/>
      <c r="C413" s="275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</row>
    <row r="414" ht="10.5" customHeight="1">
      <c r="A414" s="275"/>
      <c r="B414" s="275"/>
      <c r="C414" s="275"/>
      <c r="D414" s="275"/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</row>
    <row r="415" ht="10.5" customHeight="1">
      <c r="A415" s="275"/>
      <c r="B415" s="275"/>
      <c r="C415" s="275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5"/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</row>
    <row r="416" ht="10.5" customHeight="1">
      <c r="A416" s="275"/>
      <c r="B416" s="275"/>
      <c r="C416" s="275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</row>
    <row r="417" ht="10.5" customHeight="1">
      <c r="A417" s="275"/>
      <c r="B417" s="275"/>
      <c r="C417" s="275"/>
      <c r="D417" s="275"/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5"/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</row>
    <row r="418" ht="10.5" customHeight="1">
      <c r="A418" s="275"/>
      <c r="B418" s="275"/>
      <c r="C418" s="275"/>
      <c r="D418" s="275"/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5"/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</row>
    <row r="419" ht="10.5" customHeight="1">
      <c r="A419" s="275"/>
      <c r="B419" s="275"/>
      <c r="C419" s="275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</row>
    <row r="420" ht="10.5" customHeight="1">
      <c r="A420" s="275"/>
      <c r="B420" s="275"/>
      <c r="C420" s="275"/>
      <c r="D420" s="275"/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5"/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</row>
    <row r="421" ht="10.5" customHeight="1">
      <c r="A421" s="275"/>
      <c r="B421" s="275"/>
      <c r="C421" s="275"/>
      <c r="D421" s="275"/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5"/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</row>
    <row r="422" ht="10.5" customHeight="1">
      <c r="A422" s="275"/>
      <c r="B422" s="275"/>
      <c r="C422" s="275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</row>
    <row r="423" ht="10.5" customHeight="1">
      <c r="A423" s="275"/>
      <c r="B423" s="275"/>
      <c r="C423" s="275"/>
      <c r="D423" s="275"/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</row>
    <row r="424" ht="10.5" customHeight="1">
      <c r="A424" s="275"/>
      <c r="B424" s="275"/>
      <c r="C424" s="275"/>
      <c r="D424" s="275"/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</row>
    <row r="425" ht="10.5" customHeight="1">
      <c r="A425" s="275"/>
      <c r="B425" s="275"/>
      <c r="C425" s="275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</row>
    <row r="426" ht="10.5" customHeight="1">
      <c r="A426" s="275"/>
      <c r="B426" s="275"/>
      <c r="C426" s="275"/>
      <c r="D426" s="275"/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</row>
    <row r="427" ht="10.5" customHeight="1">
      <c r="A427" s="275"/>
      <c r="B427" s="275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</row>
    <row r="428" ht="10.5" customHeight="1">
      <c r="A428" s="275"/>
      <c r="B428" s="275"/>
      <c r="C428" s="275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</row>
    <row r="429" ht="10.5" customHeight="1">
      <c r="A429" s="275"/>
      <c r="B429" s="275"/>
      <c r="C429" s="275"/>
      <c r="D429" s="275"/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5"/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</row>
    <row r="430" ht="10.5" customHeight="1">
      <c r="A430" s="275"/>
      <c r="B430" s="275"/>
      <c r="C430" s="275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</row>
    <row r="431" ht="10.5" customHeight="1">
      <c r="A431" s="275"/>
      <c r="B431" s="275"/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</row>
    <row r="432" ht="10.5" customHeight="1">
      <c r="A432" s="275"/>
      <c r="B432" s="275"/>
      <c r="C432" s="275"/>
      <c r="D432" s="275"/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</row>
    <row r="433" ht="10.5" customHeight="1">
      <c r="A433" s="275"/>
      <c r="B433" s="275"/>
      <c r="C433" s="275"/>
      <c r="D433" s="275"/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5"/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</row>
    <row r="434" ht="10.5" customHeight="1">
      <c r="A434" s="275"/>
      <c r="B434" s="275"/>
      <c r="C434" s="275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</row>
    <row r="435" ht="10.5" customHeight="1">
      <c r="A435" s="275"/>
      <c r="B435" s="275"/>
      <c r="C435" s="275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</row>
    <row r="436" ht="10.5" customHeight="1">
      <c r="A436" s="275"/>
      <c r="B436" s="275"/>
      <c r="C436" s="275"/>
      <c r="D436" s="275"/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5"/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</row>
    <row r="437" ht="10.5" customHeight="1">
      <c r="A437" s="275"/>
      <c r="B437" s="275"/>
      <c r="C437" s="275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</row>
    <row r="438" ht="10.5" customHeight="1">
      <c r="A438" s="275"/>
      <c r="B438" s="275"/>
      <c r="C438" s="275"/>
      <c r="D438" s="275"/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</row>
    <row r="439" ht="10.5" customHeight="1">
      <c r="A439" s="275"/>
      <c r="B439" s="275"/>
      <c r="C439" s="275"/>
      <c r="D439" s="275"/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5"/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</row>
    <row r="440" ht="10.5" customHeight="1">
      <c r="A440" s="275"/>
      <c r="B440" s="275"/>
      <c r="C440" s="275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</row>
    <row r="441" ht="10.5" customHeight="1">
      <c r="A441" s="275"/>
      <c r="B441" s="275"/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</row>
    <row r="442" ht="10.5" customHeight="1">
      <c r="A442" s="275"/>
      <c r="B442" s="275"/>
      <c r="C442" s="275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5"/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</row>
    <row r="443" ht="10.5" customHeight="1">
      <c r="A443" s="275"/>
      <c r="B443" s="275"/>
      <c r="C443" s="275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</row>
    <row r="444" ht="10.5" customHeight="1">
      <c r="A444" s="275"/>
      <c r="B444" s="275"/>
      <c r="C444" s="275"/>
      <c r="D444" s="275"/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5"/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</row>
    <row r="445" ht="10.5" customHeight="1">
      <c r="A445" s="275"/>
      <c r="B445" s="275"/>
      <c r="C445" s="275"/>
      <c r="D445" s="275"/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5"/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</row>
    <row r="446" ht="10.5" customHeight="1">
      <c r="A446" s="275"/>
      <c r="B446" s="275"/>
      <c r="C446" s="275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</row>
    <row r="447" ht="10.5" customHeight="1">
      <c r="A447" s="275"/>
      <c r="B447" s="275"/>
      <c r="C447" s="275"/>
      <c r="D447" s="275"/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</row>
    <row r="448" ht="10.5" customHeight="1">
      <c r="A448" s="275"/>
      <c r="B448" s="275"/>
      <c r="C448" s="275"/>
      <c r="D448" s="275"/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</row>
    <row r="449" ht="10.5" customHeight="1">
      <c r="A449" s="275"/>
      <c r="B449" s="275"/>
      <c r="C449" s="275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</row>
    <row r="450" ht="10.5" customHeight="1">
      <c r="A450" s="275"/>
      <c r="B450" s="275"/>
      <c r="C450" s="275"/>
      <c r="D450" s="275"/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</row>
    <row r="451" ht="10.5" customHeight="1">
      <c r="A451" s="275"/>
      <c r="B451" s="275"/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</row>
    <row r="452" ht="10.5" customHeight="1">
      <c r="A452" s="275"/>
      <c r="B452" s="275"/>
      <c r="C452" s="275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</row>
    <row r="453" ht="10.5" customHeight="1">
      <c r="A453" s="275"/>
      <c r="B453" s="275"/>
      <c r="C453" s="275"/>
      <c r="D453" s="275"/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</row>
    <row r="454" ht="10.5" customHeight="1">
      <c r="A454" s="275"/>
      <c r="B454" s="275"/>
      <c r="C454" s="275"/>
      <c r="D454" s="275"/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</row>
    <row r="455" ht="10.5" customHeight="1">
      <c r="A455" s="275"/>
      <c r="B455" s="275"/>
      <c r="C455" s="275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</row>
    <row r="456" ht="10.5" customHeight="1">
      <c r="A456" s="275"/>
      <c r="B456" s="275"/>
      <c r="C456" s="275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</row>
    <row r="457" ht="10.5" customHeight="1">
      <c r="A457" s="275"/>
      <c r="B457" s="275"/>
      <c r="C457" s="275"/>
      <c r="D457" s="275"/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</row>
    <row r="458" ht="10.5" customHeight="1">
      <c r="A458" s="275"/>
      <c r="B458" s="275"/>
      <c r="C458" s="275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</row>
    <row r="459" ht="10.5" customHeight="1">
      <c r="A459" s="275"/>
      <c r="B459" s="275"/>
      <c r="C459" s="275"/>
      <c r="D459" s="275"/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</row>
    <row r="460" ht="10.5" customHeight="1">
      <c r="A460" s="275"/>
      <c r="B460" s="275"/>
      <c r="C460" s="275"/>
      <c r="D460" s="275"/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</row>
    <row r="461" ht="10.5" customHeight="1">
      <c r="A461" s="275"/>
      <c r="B461" s="275"/>
      <c r="C461" s="275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</row>
    <row r="462" ht="10.5" customHeight="1">
      <c r="A462" s="275"/>
      <c r="B462" s="275"/>
      <c r="C462" s="275"/>
      <c r="D462" s="275"/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</row>
    <row r="463" ht="10.5" customHeight="1">
      <c r="A463" s="275"/>
      <c r="B463" s="275"/>
      <c r="C463" s="275"/>
      <c r="D463" s="275"/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</row>
    <row r="464" ht="10.5" customHeight="1">
      <c r="A464" s="275"/>
      <c r="B464" s="275"/>
      <c r="C464" s="275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</row>
    <row r="465" ht="10.5" customHeight="1">
      <c r="A465" s="275"/>
      <c r="B465" s="275"/>
      <c r="C465" s="275"/>
      <c r="D465" s="275"/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</row>
    <row r="466" ht="10.5" customHeight="1">
      <c r="A466" s="275"/>
      <c r="B466" s="275"/>
      <c r="C466" s="275"/>
      <c r="D466" s="275"/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</row>
    <row r="467" ht="10.5" customHeight="1">
      <c r="A467" s="275"/>
      <c r="B467" s="275"/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</row>
    <row r="468" ht="10.5" customHeight="1">
      <c r="A468" s="275"/>
      <c r="B468" s="275"/>
      <c r="C468" s="275"/>
      <c r="D468" s="275"/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</row>
    <row r="469" ht="10.5" customHeight="1">
      <c r="A469" s="275"/>
      <c r="B469" s="275"/>
      <c r="C469" s="275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</row>
    <row r="470" ht="10.5" customHeight="1">
      <c r="A470" s="275"/>
      <c r="B470" s="275"/>
      <c r="C470" s="275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</row>
    <row r="471" ht="10.5" customHeight="1">
      <c r="A471" s="275"/>
      <c r="B471" s="275"/>
      <c r="C471" s="275"/>
      <c r="D471" s="275"/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</row>
    <row r="472" ht="10.5" customHeight="1">
      <c r="A472" s="275"/>
      <c r="B472" s="275"/>
      <c r="C472" s="275"/>
      <c r="D472" s="275"/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</row>
    <row r="473" ht="10.5" customHeight="1">
      <c r="A473" s="275"/>
      <c r="B473" s="275"/>
      <c r="C473" s="275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</row>
    <row r="474" ht="10.5" customHeight="1">
      <c r="A474" s="275"/>
      <c r="B474" s="275"/>
      <c r="C474" s="275"/>
      <c r="D474" s="275"/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</row>
    <row r="475" ht="10.5" customHeight="1">
      <c r="A475" s="275"/>
      <c r="B475" s="275"/>
      <c r="C475" s="275"/>
      <c r="D475" s="275"/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</row>
    <row r="476" ht="10.5" customHeight="1">
      <c r="A476" s="275"/>
      <c r="B476" s="275"/>
      <c r="C476" s="275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</row>
    <row r="477" ht="10.5" customHeight="1">
      <c r="A477" s="275"/>
      <c r="B477" s="275"/>
      <c r="C477" s="275"/>
      <c r="D477" s="275"/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</row>
    <row r="478" ht="10.5" customHeight="1">
      <c r="A478" s="275"/>
      <c r="B478" s="275"/>
      <c r="C478" s="275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</row>
    <row r="479" ht="10.5" customHeight="1">
      <c r="A479" s="275"/>
      <c r="B479" s="275"/>
      <c r="C479" s="275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</row>
    <row r="480" ht="10.5" customHeight="1">
      <c r="A480" s="275"/>
      <c r="B480" s="275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5"/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</row>
    <row r="481" ht="10.5" customHeight="1">
      <c r="A481" s="275"/>
      <c r="B481" s="275"/>
      <c r="C481" s="275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</row>
    <row r="482" ht="10.5" customHeight="1">
      <c r="A482" s="275"/>
      <c r="B482" s="275"/>
      <c r="C482" s="275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</row>
    <row r="483" ht="10.5" customHeight="1">
      <c r="A483" s="275"/>
      <c r="B483" s="275"/>
      <c r="C483" s="275"/>
      <c r="D483" s="275"/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</row>
    <row r="484" ht="10.5" customHeight="1">
      <c r="A484" s="275"/>
      <c r="B484" s="275"/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</row>
    <row r="485" ht="10.5" customHeight="1">
      <c r="A485" s="275"/>
      <c r="B485" s="275"/>
      <c r="C485" s="275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</row>
    <row r="486" ht="10.5" customHeight="1">
      <c r="A486" s="275"/>
      <c r="B486" s="275"/>
      <c r="C486" s="275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</row>
    <row r="487" ht="10.5" customHeight="1">
      <c r="A487" s="275"/>
      <c r="B487" s="275"/>
      <c r="C487" s="275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</row>
    <row r="488" ht="10.5" customHeight="1">
      <c r="A488" s="275"/>
      <c r="B488" s="275"/>
      <c r="C488" s="275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</row>
    <row r="489" ht="10.5" customHeight="1">
      <c r="A489" s="275"/>
      <c r="B489" s="275"/>
      <c r="C489" s="275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</row>
    <row r="490" ht="10.5" customHeight="1">
      <c r="A490" s="275"/>
      <c r="B490" s="275"/>
      <c r="C490" s="275"/>
      <c r="D490" s="275"/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</row>
    <row r="491" ht="10.5" customHeight="1">
      <c r="A491" s="275"/>
      <c r="B491" s="275"/>
      <c r="C491" s="275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</row>
    <row r="492" ht="10.5" customHeight="1">
      <c r="A492" s="275"/>
      <c r="B492" s="275"/>
      <c r="C492" s="275"/>
      <c r="D492" s="275"/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</row>
    <row r="493" ht="10.5" customHeight="1">
      <c r="A493" s="275"/>
      <c r="B493" s="275"/>
      <c r="C493" s="275"/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</row>
    <row r="494" ht="10.5" customHeight="1">
      <c r="A494" s="275"/>
      <c r="B494" s="275"/>
      <c r="C494" s="275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</row>
    <row r="495" ht="10.5" customHeight="1">
      <c r="A495" s="275"/>
      <c r="B495" s="275"/>
      <c r="C495" s="275"/>
      <c r="D495" s="275"/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</row>
    <row r="496" ht="10.5" customHeight="1">
      <c r="A496" s="275"/>
      <c r="B496" s="275"/>
      <c r="C496" s="275"/>
      <c r="D496" s="275"/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</row>
    <row r="497" ht="10.5" customHeight="1">
      <c r="A497" s="275"/>
      <c r="B497" s="275"/>
      <c r="C497" s="275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</row>
    <row r="498" ht="10.5" customHeight="1">
      <c r="A498" s="275"/>
      <c r="B498" s="275"/>
      <c r="C498" s="275"/>
      <c r="D498" s="275"/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</row>
    <row r="499" ht="10.5" customHeight="1">
      <c r="A499" s="275"/>
      <c r="B499" s="275"/>
      <c r="C499" s="275"/>
      <c r="D499" s="275"/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</row>
    <row r="500" ht="10.5" customHeight="1">
      <c r="A500" s="275"/>
      <c r="B500" s="275"/>
      <c r="C500" s="275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</row>
    <row r="501" ht="10.5" customHeight="1">
      <c r="A501" s="275"/>
      <c r="B501" s="275"/>
      <c r="C501" s="275"/>
      <c r="D501" s="275"/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</row>
    <row r="502" ht="10.5" customHeight="1">
      <c r="A502" s="275"/>
      <c r="B502" s="275"/>
      <c r="C502" s="275"/>
      <c r="D502" s="275"/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</row>
    <row r="503" ht="10.5" customHeight="1">
      <c r="A503" s="275"/>
      <c r="B503" s="275"/>
      <c r="C503" s="275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</row>
    <row r="504" ht="10.5" customHeight="1">
      <c r="A504" s="275"/>
      <c r="B504" s="275"/>
      <c r="C504" s="275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</row>
    <row r="505" ht="10.5" customHeight="1">
      <c r="A505" s="275"/>
      <c r="B505" s="275"/>
      <c r="C505" s="275"/>
      <c r="D505" s="275"/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</row>
    <row r="506" ht="10.5" customHeight="1">
      <c r="A506" s="275"/>
      <c r="B506" s="275"/>
      <c r="C506" s="275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</row>
    <row r="507" ht="10.5" customHeight="1">
      <c r="A507" s="275"/>
      <c r="B507" s="275"/>
      <c r="C507" s="275"/>
      <c r="D507" s="275"/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</row>
    <row r="508" ht="10.5" customHeight="1">
      <c r="A508" s="275"/>
      <c r="B508" s="275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</row>
    <row r="509" ht="10.5" customHeight="1">
      <c r="A509" s="275"/>
      <c r="B509" s="275"/>
      <c r="C509" s="275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</row>
    <row r="510" ht="10.5" customHeight="1">
      <c r="A510" s="275"/>
      <c r="B510" s="275"/>
      <c r="C510" s="275"/>
      <c r="D510" s="275"/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</row>
    <row r="511" ht="10.5" customHeight="1">
      <c r="A511" s="275"/>
      <c r="B511" s="275"/>
      <c r="C511" s="275"/>
      <c r="D511" s="275"/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</row>
    <row r="512" ht="10.5" customHeight="1">
      <c r="A512" s="275"/>
      <c r="B512" s="275"/>
      <c r="C512" s="275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</row>
    <row r="513" ht="10.5" customHeight="1">
      <c r="A513" s="275"/>
      <c r="B513" s="275"/>
      <c r="C513" s="275"/>
      <c r="D513" s="275"/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</row>
    <row r="514" ht="10.5" customHeight="1">
      <c r="A514" s="275"/>
      <c r="B514" s="275"/>
      <c r="C514" s="275"/>
      <c r="D514" s="275"/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</row>
    <row r="515" ht="10.5" customHeight="1">
      <c r="A515" s="275"/>
      <c r="B515" s="275"/>
      <c r="C515" s="275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</row>
    <row r="516" ht="10.5" customHeight="1">
      <c r="A516" s="275"/>
      <c r="B516" s="275"/>
      <c r="C516" s="275"/>
      <c r="D516" s="275"/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</row>
    <row r="517" ht="10.5" customHeight="1">
      <c r="A517" s="275"/>
      <c r="B517" s="275"/>
      <c r="C517" s="275"/>
      <c r="D517" s="275"/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</row>
    <row r="518" ht="10.5" customHeight="1">
      <c r="A518" s="275"/>
      <c r="B518" s="275"/>
      <c r="C518" s="275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</row>
    <row r="519" ht="10.5" customHeight="1">
      <c r="A519" s="275"/>
      <c r="B519" s="275"/>
      <c r="C519" s="275"/>
      <c r="D519" s="275"/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</row>
    <row r="520" ht="10.5" customHeight="1">
      <c r="A520" s="275"/>
      <c r="B520" s="275"/>
      <c r="C520" s="275"/>
      <c r="D520" s="275"/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</row>
    <row r="521" ht="10.5" customHeight="1">
      <c r="A521" s="275"/>
      <c r="B521" s="275"/>
      <c r="C521" s="275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</row>
    <row r="522" ht="10.5" customHeight="1">
      <c r="A522" s="275"/>
      <c r="B522" s="275"/>
      <c r="C522" s="275"/>
      <c r="D522" s="275"/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</row>
    <row r="523" ht="10.5" customHeight="1">
      <c r="A523" s="275"/>
      <c r="B523" s="275"/>
      <c r="C523" s="275"/>
      <c r="D523" s="275"/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</row>
    <row r="524" ht="10.5" customHeight="1">
      <c r="A524" s="275"/>
      <c r="B524" s="275"/>
      <c r="C524" s="275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</row>
    <row r="525" ht="10.5" customHeight="1">
      <c r="A525" s="275"/>
      <c r="B525" s="275"/>
      <c r="C525" s="275"/>
      <c r="D525" s="275"/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</row>
    <row r="526" ht="10.5" customHeight="1">
      <c r="A526" s="275"/>
      <c r="B526" s="275"/>
      <c r="C526" s="275"/>
      <c r="D526" s="275"/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</row>
    <row r="527" ht="10.5" customHeight="1">
      <c r="A527" s="275"/>
      <c r="B527" s="275"/>
      <c r="C527" s="275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</row>
    <row r="528" ht="10.5" customHeight="1">
      <c r="A528" s="275"/>
      <c r="B528" s="275"/>
      <c r="C528" s="275"/>
      <c r="D528" s="275"/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</row>
    <row r="529" ht="10.5" customHeight="1">
      <c r="A529" s="275"/>
      <c r="B529" s="275"/>
      <c r="C529" s="275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</row>
    <row r="530" ht="10.5" customHeight="1">
      <c r="A530" s="275"/>
      <c r="B530" s="275"/>
      <c r="C530" s="275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</row>
    <row r="531" ht="10.5" customHeight="1">
      <c r="A531" s="275"/>
      <c r="B531" s="275"/>
      <c r="C531" s="275"/>
      <c r="D531" s="275"/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  <c r="Z531" s="275"/>
    </row>
    <row r="532" ht="10.5" customHeight="1">
      <c r="A532" s="275"/>
      <c r="B532" s="275"/>
      <c r="C532" s="275"/>
      <c r="D532" s="275"/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  <c r="Z532" s="275"/>
    </row>
    <row r="533" ht="10.5" customHeight="1">
      <c r="A533" s="275"/>
      <c r="B533" s="275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</row>
    <row r="534" ht="10.5" customHeight="1">
      <c r="A534" s="275"/>
      <c r="B534" s="275"/>
      <c r="C534" s="275"/>
      <c r="D534" s="275"/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</row>
    <row r="535" ht="10.5" customHeight="1">
      <c r="A535" s="275"/>
      <c r="B535" s="275"/>
      <c r="C535" s="275"/>
      <c r="D535" s="275"/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</row>
    <row r="536" ht="10.5" customHeight="1">
      <c r="A536" s="275"/>
      <c r="B536" s="275"/>
      <c r="C536" s="275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</row>
    <row r="537" ht="10.5" customHeight="1">
      <c r="A537" s="275"/>
      <c r="B537" s="275"/>
      <c r="C537" s="275"/>
      <c r="D537" s="275"/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  <c r="Z537" s="275"/>
    </row>
    <row r="538" ht="10.5" customHeight="1">
      <c r="A538" s="275"/>
      <c r="B538" s="275"/>
      <c r="C538" s="275"/>
      <c r="D538" s="275"/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  <c r="Z538" s="275"/>
    </row>
    <row r="539" ht="10.5" customHeight="1">
      <c r="A539" s="275"/>
      <c r="B539" s="275"/>
      <c r="C539" s="275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</row>
    <row r="540" ht="10.5" customHeight="1">
      <c r="A540" s="275"/>
      <c r="B540" s="275"/>
      <c r="C540" s="275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5"/>
    </row>
    <row r="541" ht="10.5" customHeight="1">
      <c r="A541" s="275"/>
      <c r="B541" s="275"/>
      <c r="C541" s="275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  <c r="Z541" s="275"/>
    </row>
    <row r="542" ht="10.5" customHeight="1">
      <c r="A542" s="275"/>
      <c r="B542" s="275"/>
      <c r="C542" s="275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</row>
    <row r="543" ht="10.5" customHeight="1">
      <c r="A543" s="275"/>
      <c r="B543" s="275"/>
      <c r="C543" s="275"/>
      <c r="D543" s="275"/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</row>
    <row r="544" ht="10.5" customHeight="1">
      <c r="A544" s="275"/>
      <c r="B544" s="275"/>
      <c r="C544" s="275"/>
      <c r="D544" s="275"/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</row>
    <row r="545" ht="10.5" customHeight="1">
      <c r="A545" s="275"/>
      <c r="B545" s="275"/>
      <c r="C545" s="275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</row>
    <row r="546" ht="10.5" customHeight="1">
      <c r="A546" s="275"/>
      <c r="B546" s="275"/>
      <c r="C546" s="275"/>
      <c r="D546" s="275"/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  <c r="Z546" s="275"/>
    </row>
    <row r="547" ht="10.5" customHeight="1">
      <c r="A547" s="275"/>
      <c r="B547" s="275"/>
      <c r="C547" s="275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  <c r="Z547" s="275"/>
    </row>
    <row r="548" ht="10.5" customHeight="1">
      <c r="A548" s="275"/>
      <c r="B548" s="275"/>
      <c r="C548" s="275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</row>
    <row r="549" ht="10.5" customHeight="1">
      <c r="A549" s="275"/>
      <c r="B549" s="275"/>
      <c r="C549" s="275"/>
      <c r="D549" s="275"/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  <c r="Z549" s="275"/>
    </row>
    <row r="550" ht="10.5" customHeight="1">
      <c r="A550" s="275"/>
      <c r="B550" s="275"/>
      <c r="C550" s="275"/>
      <c r="D550" s="275"/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  <c r="Z550" s="275"/>
    </row>
    <row r="551" ht="10.5" customHeight="1">
      <c r="A551" s="275"/>
      <c r="B551" s="275"/>
      <c r="C551" s="275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</row>
    <row r="552" ht="10.5" customHeight="1">
      <c r="A552" s="275"/>
      <c r="B552" s="275"/>
      <c r="C552" s="275"/>
      <c r="D552" s="275"/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  <c r="Z552" s="275"/>
    </row>
    <row r="553" ht="10.5" customHeight="1">
      <c r="A553" s="275"/>
      <c r="B553" s="275"/>
      <c r="C553" s="275"/>
      <c r="D553" s="275"/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  <c r="Z553" s="275"/>
    </row>
    <row r="554" ht="10.5" customHeight="1">
      <c r="A554" s="275"/>
      <c r="B554" s="275"/>
      <c r="C554" s="275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</row>
    <row r="555" ht="10.5" customHeight="1">
      <c r="A555" s="275"/>
      <c r="B555" s="275"/>
      <c r="C555" s="275"/>
      <c r="D555" s="275"/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  <c r="Z555" s="275"/>
    </row>
    <row r="556" ht="10.5" customHeight="1">
      <c r="A556" s="275"/>
      <c r="B556" s="275"/>
      <c r="C556" s="275"/>
      <c r="D556" s="275"/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  <c r="Z556" s="275"/>
    </row>
    <row r="557" ht="10.5" customHeight="1">
      <c r="A557" s="275"/>
      <c r="B557" s="275"/>
      <c r="C557" s="275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</row>
    <row r="558" ht="10.5" customHeight="1">
      <c r="A558" s="275"/>
      <c r="B558" s="275"/>
      <c r="C558" s="275"/>
      <c r="D558" s="275"/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  <c r="Z558" s="275"/>
    </row>
    <row r="559" ht="10.5" customHeight="1">
      <c r="A559" s="275"/>
      <c r="B559" s="275"/>
      <c r="C559" s="275"/>
      <c r="D559" s="275"/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  <c r="Z559" s="275"/>
    </row>
    <row r="560" ht="10.5" customHeight="1">
      <c r="A560" s="275"/>
      <c r="B560" s="275"/>
      <c r="C560" s="275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</row>
    <row r="561" ht="10.5" customHeight="1">
      <c r="A561" s="275"/>
      <c r="B561" s="275"/>
      <c r="C561" s="275"/>
      <c r="D561" s="275"/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  <c r="Z561" s="275"/>
    </row>
    <row r="562" ht="10.5" customHeight="1">
      <c r="A562" s="275"/>
      <c r="B562" s="275"/>
      <c r="C562" s="275"/>
      <c r="D562" s="275"/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  <c r="Z562" s="275"/>
    </row>
    <row r="563" ht="10.5" customHeight="1">
      <c r="A563" s="275"/>
      <c r="B563" s="275"/>
      <c r="C563" s="275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</row>
    <row r="564" ht="10.5" customHeight="1">
      <c r="A564" s="275"/>
      <c r="B564" s="275"/>
      <c r="C564" s="275"/>
      <c r="D564" s="275"/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  <c r="Z564" s="275"/>
    </row>
    <row r="565" ht="10.5" customHeight="1">
      <c r="A565" s="275"/>
      <c r="B565" s="275"/>
      <c r="C565" s="275"/>
      <c r="D565" s="275"/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  <c r="Z565" s="275"/>
    </row>
    <row r="566" ht="10.5" customHeight="1">
      <c r="A566" s="275"/>
      <c r="B566" s="275"/>
      <c r="C566" s="275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</row>
    <row r="567" ht="10.5" customHeight="1">
      <c r="A567" s="275"/>
      <c r="B567" s="275"/>
      <c r="C567" s="275"/>
      <c r="D567" s="275"/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  <c r="Z567" s="275"/>
    </row>
    <row r="568" ht="10.5" customHeight="1">
      <c r="A568" s="275"/>
      <c r="B568" s="275"/>
      <c r="C568" s="275"/>
      <c r="D568" s="275"/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  <c r="Z568" s="275"/>
    </row>
    <row r="569" ht="10.5" customHeight="1">
      <c r="A569" s="275"/>
      <c r="B569" s="275"/>
      <c r="C569" s="275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</row>
    <row r="570" ht="10.5" customHeight="1">
      <c r="A570" s="275"/>
      <c r="B570" s="275"/>
      <c r="C570" s="275"/>
      <c r="D570" s="275"/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  <c r="Z570" s="275"/>
    </row>
    <row r="571" ht="10.5" customHeight="1">
      <c r="A571" s="275"/>
      <c r="B571" s="275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</row>
    <row r="572" ht="10.5" customHeight="1">
      <c r="A572" s="275"/>
      <c r="B572" s="275"/>
      <c r="C572" s="275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</row>
    <row r="573" ht="10.5" customHeight="1">
      <c r="A573" s="275"/>
      <c r="B573" s="275"/>
      <c r="C573" s="275"/>
      <c r="D573" s="275"/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  <c r="Z573" s="275"/>
    </row>
    <row r="574" ht="10.5" customHeight="1">
      <c r="A574" s="275"/>
      <c r="B574" s="275"/>
      <c r="C574" s="275"/>
      <c r="D574" s="275"/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  <c r="Z574" s="275"/>
    </row>
    <row r="575" ht="10.5" customHeight="1">
      <c r="A575" s="275"/>
      <c r="B575" s="275"/>
      <c r="C575" s="275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</row>
    <row r="576" ht="10.5" customHeight="1">
      <c r="A576" s="275"/>
      <c r="B576" s="275"/>
      <c r="C576" s="275"/>
      <c r="D576" s="275"/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  <c r="Z576" s="275"/>
    </row>
    <row r="577" ht="10.5" customHeight="1">
      <c r="A577" s="275"/>
      <c r="B577" s="275"/>
      <c r="C577" s="275"/>
      <c r="D577" s="275"/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  <c r="Z577" s="275"/>
    </row>
    <row r="578" ht="10.5" customHeight="1">
      <c r="A578" s="275"/>
      <c r="B578" s="275"/>
      <c r="C578" s="275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</row>
    <row r="579" ht="10.5" customHeight="1">
      <c r="A579" s="275"/>
      <c r="B579" s="275"/>
      <c r="C579" s="275"/>
      <c r="D579" s="275"/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  <c r="Z579" s="275"/>
    </row>
    <row r="580" ht="10.5" customHeight="1">
      <c r="A580" s="275"/>
      <c r="B580" s="275"/>
      <c r="C580" s="275"/>
      <c r="D580" s="275"/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  <c r="Z580" s="275"/>
    </row>
    <row r="581" ht="10.5" customHeight="1">
      <c r="A581" s="275"/>
      <c r="B581" s="275"/>
      <c r="C581" s="275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</row>
    <row r="582" ht="10.5" customHeight="1">
      <c r="A582" s="275"/>
      <c r="B582" s="275"/>
      <c r="C582" s="275"/>
      <c r="D582" s="275"/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  <c r="Z582" s="275"/>
    </row>
    <row r="583" ht="10.5" customHeight="1">
      <c r="A583" s="275"/>
      <c r="B583" s="275"/>
      <c r="C583" s="275"/>
      <c r="D583" s="275"/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  <c r="Z583" s="275"/>
    </row>
    <row r="584" ht="10.5" customHeight="1">
      <c r="A584" s="275"/>
      <c r="B584" s="275"/>
      <c r="C584" s="275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</row>
    <row r="585" ht="10.5" customHeight="1">
      <c r="A585" s="275"/>
      <c r="B585" s="275"/>
      <c r="C585" s="275"/>
      <c r="D585" s="275"/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  <c r="Z585" s="275"/>
    </row>
    <row r="586" ht="10.5" customHeight="1">
      <c r="A586" s="275"/>
      <c r="B586" s="275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  <c r="Z586" s="275"/>
    </row>
    <row r="587" ht="10.5" customHeight="1">
      <c r="A587" s="275"/>
      <c r="B587" s="275"/>
      <c r="C587" s="275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</row>
    <row r="588" ht="10.5" customHeight="1">
      <c r="A588" s="275"/>
      <c r="B588" s="275"/>
      <c r="C588" s="275"/>
      <c r="D588" s="275"/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  <c r="Z588" s="275"/>
    </row>
    <row r="589" ht="10.5" customHeight="1">
      <c r="A589" s="275"/>
      <c r="B589" s="275"/>
      <c r="C589" s="275"/>
      <c r="D589" s="275"/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  <c r="Z589" s="275"/>
    </row>
    <row r="590" ht="10.5" customHeight="1">
      <c r="A590" s="275"/>
      <c r="B590" s="275"/>
      <c r="C590" s="275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</row>
    <row r="591" ht="10.5" customHeight="1">
      <c r="A591" s="275"/>
      <c r="B591" s="275"/>
      <c r="C591" s="275"/>
      <c r="D591" s="275"/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  <c r="Z591" s="275"/>
    </row>
    <row r="592" ht="10.5" customHeight="1">
      <c r="A592" s="275"/>
      <c r="B592" s="275"/>
      <c r="C592" s="275"/>
      <c r="D592" s="275"/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5"/>
      <c r="P592" s="275"/>
      <c r="Q592" s="275"/>
      <c r="R592" s="275"/>
      <c r="S592" s="275"/>
      <c r="T592" s="275"/>
      <c r="U592" s="275"/>
      <c r="V592" s="275"/>
      <c r="W592" s="275"/>
      <c r="X592" s="275"/>
      <c r="Y592" s="275"/>
      <c r="Z592" s="275"/>
    </row>
    <row r="593" ht="10.5" customHeight="1">
      <c r="A593" s="275"/>
      <c r="B593" s="275"/>
      <c r="C593" s="275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</row>
    <row r="594" ht="10.5" customHeight="1">
      <c r="A594" s="275"/>
      <c r="B594" s="275"/>
      <c r="C594" s="275"/>
      <c r="D594" s="275"/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  <c r="Z594" s="275"/>
    </row>
    <row r="595" ht="10.5" customHeight="1">
      <c r="A595" s="275"/>
      <c r="B595" s="275"/>
      <c r="C595" s="275"/>
      <c r="D595" s="275"/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  <c r="Z595" s="275"/>
    </row>
    <row r="596" ht="10.5" customHeight="1">
      <c r="A596" s="275"/>
      <c r="B596" s="275"/>
      <c r="C596" s="275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</row>
    <row r="597" ht="10.5" customHeight="1">
      <c r="A597" s="275"/>
      <c r="B597" s="275"/>
      <c r="C597" s="275"/>
      <c r="D597" s="275"/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  <c r="Z597" s="275"/>
    </row>
    <row r="598" ht="10.5" customHeight="1">
      <c r="A598" s="275"/>
      <c r="B598" s="275"/>
      <c r="C598" s="275"/>
      <c r="D598" s="275"/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  <c r="Z598" s="275"/>
    </row>
    <row r="599" ht="10.5" customHeight="1">
      <c r="A599" s="275"/>
      <c r="B599" s="275"/>
      <c r="C599" s="275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</row>
    <row r="600" ht="10.5" customHeight="1">
      <c r="A600" s="275"/>
      <c r="B600" s="275"/>
      <c r="C600" s="275"/>
      <c r="D600" s="275"/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  <c r="Z600" s="275"/>
    </row>
    <row r="601" ht="10.5" customHeight="1">
      <c r="A601" s="275"/>
      <c r="B601" s="275"/>
      <c r="C601" s="275"/>
      <c r="D601" s="275"/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  <c r="Z601" s="275"/>
    </row>
    <row r="602" ht="10.5" customHeight="1">
      <c r="A602" s="275"/>
      <c r="B602" s="275"/>
      <c r="C602" s="275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</row>
    <row r="603" ht="10.5" customHeight="1">
      <c r="A603" s="275"/>
      <c r="B603" s="275"/>
      <c r="C603" s="275"/>
      <c r="D603" s="275"/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  <c r="Z603" s="275"/>
    </row>
    <row r="604" ht="10.5" customHeight="1">
      <c r="A604" s="275"/>
      <c r="B604" s="275"/>
      <c r="C604" s="275"/>
      <c r="D604" s="275"/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  <c r="Z604" s="275"/>
    </row>
    <row r="605" ht="10.5" customHeight="1">
      <c r="A605" s="275"/>
      <c r="B605" s="275"/>
      <c r="C605" s="275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</row>
    <row r="606" ht="10.5" customHeight="1">
      <c r="A606" s="275"/>
      <c r="B606" s="275"/>
      <c r="C606" s="275"/>
      <c r="D606" s="275"/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  <c r="Z606" s="275"/>
    </row>
    <row r="607" ht="10.5" customHeight="1">
      <c r="A607" s="275"/>
      <c r="B607" s="275"/>
      <c r="C607" s="275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5"/>
    </row>
    <row r="608" ht="10.5" customHeight="1">
      <c r="A608" s="275"/>
      <c r="B608" s="275"/>
      <c r="C608" s="275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</row>
    <row r="609" ht="10.5" customHeight="1">
      <c r="A609" s="275"/>
      <c r="B609" s="275"/>
      <c r="C609" s="275"/>
      <c r="D609" s="275"/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  <c r="Z609" s="275"/>
    </row>
    <row r="610" ht="10.5" customHeight="1">
      <c r="A610" s="275"/>
      <c r="B610" s="275"/>
      <c r="C610" s="275"/>
      <c r="D610" s="275"/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  <c r="Z610" s="275"/>
    </row>
    <row r="611" ht="10.5" customHeight="1">
      <c r="A611" s="275"/>
      <c r="B611" s="275"/>
      <c r="C611" s="275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</row>
    <row r="612" ht="10.5" customHeight="1">
      <c r="A612" s="275"/>
      <c r="B612" s="275"/>
      <c r="C612" s="275"/>
      <c r="D612" s="275"/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  <c r="Z612" s="275"/>
    </row>
    <row r="613" ht="10.5" customHeight="1">
      <c r="A613" s="275"/>
      <c r="B613" s="275"/>
      <c r="C613" s="275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  <c r="Z613" s="275"/>
    </row>
    <row r="614" ht="10.5" customHeight="1">
      <c r="A614" s="275"/>
      <c r="B614" s="275"/>
      <c r="C614" s="275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</row>
    <row r="615" ht="10.5" customHeight="1">
      <c r="A615" s="275"/>
      <c r="B615" s="275"/>
      <c r="C615" s="275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  <c r="Z615" s="275"/>
    </row>
    <row r="616" ht="10.5" customHeight="1">
      <c r="A616" s="275"/>
      <c r="B616" s="275"/>
      <c r="C616" s="275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  <c r="Z616" s="275"/>
    </row>
    <row r="617" ht="10.5" customHeight="1">
      <c r="A617" s="275"/>
      <c r="B617" s="275"/>
      <c r="C617" s="275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</row>
    <row r="618" ht="10.5" customHeight="1">
      <c r="A618" s="275"/>
      <c r="B618" s="275"/>
      <c r="C618" s="275"/>
      <c r="D618" s="275"/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  <c r="Z618" s="275"/>
    </row>
    <row r="619" ht="10.5" customHeight="1">
      <c r="A619" s="275"/>
      <c r="B619" s="275"/>
      <c r="C619" s="275"/>
      <c r="D619" s="275"/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  <c r="S619" s="275"/>
      <c r="T619" s="275"/>
      <c r="U619" s="275"/>
      <c r="V619" s="275"/>
      <c r="W619" s="275"/>
      <c r="X619" s="275"/>
      <c r="Y619" s="275"/>
      <c r="Z619" s="275"/>
    </row>
    <row r="620" ht="10.5" customHeight="1">
      <c r="A620" s="275"/>
      <c r="B620" s="275"/>
      <c r="C620" s="275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</row>
    <row r="621" ht="10.5" customHeight="1">
      <c r="A621" s="275"/>
      <c r="B621" s="275"/>
      <c r="C621" s="275"/>
      <c r="D621" s="275"/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5"/>
      <c r="P621" s="275"/>
      <c r="Q621" s="275"/>
      <c r="R621" s="275"/>
      <c r="S621" s="275"/>
      <c r="T621" s="275"/>
      <c r="U621" s="275"/>
      <c r="V621" s="275"/>
      <c r="W621" s="275"/>
      <c r="X621" s="275"/>
      <c r="Y621" s="275"/>
      <c r="Z621" s="275"/>
    </row>
    <row r="622" ht="10.5" customHeight="1">
      <c r="A622" s="275"/>
      <c r="B622" s="275"/>
      <c r="C622" s="275"/>
      <c r="D622" s="275"/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  <c r="Z622" s="275"/>
    </row>
    <row r="623" ht="10.5" customHeight="1">
      <c r="A623" s="275"/>
      <c r="B623" s="275"/>
      <c r="C623" s="275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</row>
    <row r="624" ht="10.5" customHeight="1">
      <c r="A624" s="275"/>
      <c r="B624" s="275"/>
      <c r="C624" s="275"/>
      <c r="D624" s="275"/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  <c r="Z624" s="275"/>
    </row>
    <row r="625" ht="10.5" customHeight="1">
      <c r="A625" s="275"/>
      <c r="B625" s="275"/>
      <c r="C625" s="275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  <c r="Y625" s="275"/>
      <c r="Z625" s="275"/>
    </row>
    <row r="626" ht="10.5" customHeight="1">
      <c r="A626" s="275"/>
      <c r="B626" s="275"/>
      <c r="C626" s="275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</row>
    <row r="627" ht="10.5" customHeight="1">
      <c r="A627" s="275"/>
      <c r="B627" s="275"/>
      <c r="C627" s="275"/>
      <c r="D627" s="275"/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  <c r="Z627" s="275"/>
    </row>
    <row r="628" ht="10.5" customHeight="1">
      <c r="A628" s="275"/>
      <c r="B628" s="275"/>
      <c r="C628" s="275"/>
      <c r="D628" s="275"/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5"/>
    </row>
    <row r="629" ht="10.5" customHeight="1">
      <c r="A629" s="275"/>
      <c r="B629" s="275"/>
      <c r="C629" s="275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</row>
    <row r="630" ht="10.5" customHeight="1">
      <c r="A630" s="275"/>
      <c r="B630" s="275"/>
      <c r="C630" s="275"/>
      <c r="D630" s="275"/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5"/>
      <c r="P630" s="275"/>
      <c r="Q630" s="275"/>
      <c r="R630" s="275"/>
      <c r="S630" s="275"/>
      <c r="T630" s="275"/>
      <c r="U630" s="275"/>
      <c r="V630" s="275"/>
      <c r="W630" s="275"/>
      <c r="X630" s="275"/>
      <c r="Y630" s="275"/>
      <c r="Z630" s="275"/>
    </row>
    <row r="631" ht="10.5" customHeight="1">
      <c r="A631" s="275"/>
      <c r="B631" s="275"/>
      <c r="C631" s="275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  <c r="Z631" s="275"/>
    </row>
    <row r="632" ht="10.5" customHeight="1">
      <c r="A632" s="275"/>
      <c r="B632" s="275"/>
      <c r="C632" s="275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</row>
    <row r="633" ht="10.5" customHeight="1">
      <c r="A633" s="275"/>
      <c r="B633" s="275"/>
      <c r="C633" s="275"/>
      <c r="D633" s="275"/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75"/>
      <c r="Y633" s="275"/>
      <c r="Z633" s="275"/>
    </row>
    <row r="634" ht="10.5" customHeight="1">
      <c r="A634" s="275"/>
      <c r="B634" s="275"/>
      <c r="C634" s="275"/>
      <c r="D634" s="275"/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75"/>
      <c r="X634" s="275"/>
      <c r="Y634" s="275"/>
      <c r="Z634" s="275"/>
    </row>
    <row r="635" ht="10.5" customHeight="1">
      <c r="A635" s="275"/>
      <c r="B635" s="275"/>
      <c r="C635" s="275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</row>
    <row r="636" ht="10.5" customHeight="1">
      <c r="A636" s="275"/>
      <c r="B636" s="275"/>
      <c r="C636" s="275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75"/>
      <c r="Y636" s="275"/>
      <c r="Z636" s="275"/>
    </row>
    <row r="637" ht="10.5" customHeight="1">
      <c r="A637" s="275"/>
      <c r="B637" s="275"/>
      <c r="C637" s="275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  <c r="Z637" s="275"/>
    </row>
    <row r="638" ht="10.5" customHeight="1">
      <c r="A638" s="275"/>
      <c r="B638" s="275"/>
      <c r="C638" s="275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</row>
    <row r="639" ht="10.5" customHeight="1">
      <c r="A639" s="275"/>
      <c r="B639" s="275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5"/>
      <c r="P639" s="275"/>
      <c r="Q639" s="275"/>
      <c r="R639" s="275"/>
      <c r="S639" s="275"/>
      <c r="T639" s="275"/>
      <c r="U639" s="275"/>
      <c r="V639" s="275"/>
      <c r="W639" s="275"/>
      <c r="X639" s="275"/>
      <c r="Y639" s="275"/>
      <c r="Z639" s="275"/>
    </row>
    <row r="640" ht="10.5" customHeight="1">
      <c r="A640" s="275"/>
      <c r="B640" s="275"/>
      <c r="C640" s="275"/>
      <c r="D640" s="275"/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5"/>
      <c r="P640" s="275"/>
      <c r="Q640" s="275"/>
      <c r="R640" s="275"/>
      <c r="S640" s="275"/>
      <c r="T640" s="275"/>
      <c r="U640" s="275"/>
      <c r="V640" s="275"/>
      <c r="W640" s="275"/>
      <c r="X640" s="275"/>
      <c r="Y640" s="275"/>
      <c r="Z640" s="275"/>
    </row>
    <row r="641" ht="10.5" customHeight="1">
      <c r="A641" s="275"/>
      <c r="B641" s="275"/>
      <c r="C641" s="275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</row>
    <row r="642" ht="10.5" customHeight="1">
      <c r="A642" s="275"/>
      <c r="B642" s="275"/>
      <c r="C642" s="275"/>
      <c r="D642" s="275"/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275"/>
      <c r="Y642" s="275"/>
      <c r="Z642" s="275"/>
    </row>
    <row r="643" ht="10.5" customHeight="1">
      <c r="A643" s="275"/>
      <c r="B643" s="275"/>
      <c r="C643" s="275"/>
      <c r="D643" s="275"/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  <c r="Z643" s="275"/>
    </row>
    <row r="644" ht="10.5" customHeight="1">
      <c r="A644" s="275"/>
      <c r="B644" s="275"/>
      <c r="C644" s="275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</row>
    <row r="645" ht="10.5" customHeight="1">
      <c r="A645" s="275"/>
      <c r="B645" s="275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  <c r="V645" s="275"/>
      <c r="W645" s="275"/>
      <c r="X645" s="275"/>
      <c r="Y645" s="275"/>
      <c r="Z645" s="275"/>
    </row>
    <row r="646" ht="10.5" customHeight="1">
      <c r="A646" s="275"/>
      <c r="B646" s="275"/>
      <c r="C646" s="275"/>
      <c r="D646" s="275"/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  <c r="S646" s="275"/>
      <c r="T646" s="275"/>
      <c r="U646" s="275"/>
      <c r="V646" s="275"/>
      <c r="W646" s="275"/>
      <c r="X646" s="275"/>
      <c r="Y646" s="275"/>
      <c r="Z646" s="275"/>
    </row>
    <row r="647" ht="10.5" customHeight="1">
      <c r="A647" s="275"/>
      <c r="B647" s="275"/>
      <c r="C647" s="275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</row>
    <row r="648" ht="10.5" customHeight="1">
      <c r="A648" s="275"/>
      <c r="B648" s="275"/>
      <c r="C648" s="275"/>
      <c r="D648" s="275"/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5"/>
      <c r="P648" s="275"/>
      <c r="Q648" s="275"/>
      <c r="R648" s="275"/>
      <c r="S648" s="275"/>
      <c r="T648" s="275"/>
      <c r="U648" s="275"/>
      <c r="V648" s="275"/>
      <c r="W648" s="275"/>
      <c r="X648" s="275"/>
      <c r="Y648" s="275"/>
      <c r="Z648" s="275"/>
    </row>
    <row r="649" ht="10.5" customHeight="1">
      <c r="A649" s="275"/>
      <c r="B649" s="275"/>
      <c r="C649" s="275"/>
      <c r="D649" s="275"/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5"/>
      <c r="P649" s="275"/>
      <c r="Q649" s="275"/>
      <c r="R649" s="275"/>
      <c r="S649" s="275"/>
      <c r="T649" s="275"/>
      <c r="U649" s="275"/>
      <c r="V649" s="275"/>
      <c r="W649" s="275"/>
      <c r="X649" s="275"/>
      <c r="Y649" s="275"/>
      <c r="Z649" s="275"/>
    </row>
    <row r="650" ht="10.5" customHeight="1">
      <c r="A650" s="275"/>
      <c r="B650" s="275"/>
      <c r="C650" s="275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</row>
    <row r="651" ht="10.5" customHeight="1">
      <c r="A651" s="275"/>
      <c r="B651" s="275"/>
      <c r="C651" s="275"/>
      <c r="D651" s="275"/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5"/>
      <c r="P651" s="275"/>
      <c r="Q651" s="275"/>
      <c r="R651" s="275"/>
      <c r="S651" s="275"/>
      <c r="T651" s="275"/>
      <c r="U651" s="275"/>
      <c r="V651" s="275"/>
      <c r="W651" s="275"/>
      <c r="X651" s="275"/>
      <c r="Y651" s="275"/>
      <c r="Z651" s="275"/>
    </row>
    <row r="652" ht="10.5" customHeight="1">
      <c r="A652" s="275"/>
      <c r="B652" s="275"/>
      <c r="C652" s="275"/>
      <c r="D652" s="275"/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5"/>
      <c r="P652" s="275"/>
      <c r="Q652" s="275"/>
      <c r="R652" s="275"/>
      <c r="S652" s="275"/>
      <c r="T652" s="275"/>
      <c r="U652" s="275"/>
      <c r="V652" s="275"/>
      <c r="W652" s="275"/>
      <c r="X652" s="275"/>
      <c r="Y652" s="275"/>
      <c r="Z652" s="275"/>
    </row>
    <row r="653" ht="10.5" customHeight="1">
      <c r="A653" s="275"/>
      <c r="B653" s="275"/>
      <c r="C653" s="275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</row>
    <row r="654" ht="10.5" customHeight="1">
      <c r="A654" s="275"/>
      <c r="B654" s="275"/>
      <c r="C654" s="275"/>
      <c r="D654" s="275"/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5"/>
      <c r="P654" s="275"/>
      <c r="Q654" s="275"/>
      <c r="R654" s="275"/>
      <c r="S654" s="275"/>
      <c r="T654" s="275"/>
      <c r="U654" s="275"/>
      <c r="V654" s="275"/>
      <c r="W654" s="275"/>
      <c r="X654" s="275"/>
      <c r="Y654" s="275"/>
      <c r="Z654" s="275"/>
    </row>
    <row r="655" ht="10.5" customHeight="1">
      <c r="A655" s="275"/>
      <c r="B655" s="275"/>
      <c r="C655" s="275"/>
      <c r="D655" s="275"/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5"/>
      <c r="P655" s="275"/>
      <c r="Q655" s="275"/>
      <c r="R655" s="275"/>
      <c r="S655" s="275"/>
      <c r="T655" s="275"/>
      <c r="U655" s="275"/>
      <c r="V655" s="275"/>
      <c r="W655" s="275"/>
      <c r="X655" s="275"/>
      <c r="Y655" s="275"/>
      <c r="Z655" s="275"/>
    </row>
    <row r="656" ht="10.5" customHeight="1">
      <c r="A656" s="275"/>
      <c r="B656" s="275"/>
      <c r="C656" s="275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</row>
    <row r="657" ht="10.5" customHeight="1">
      <c r="A657" s="275"/>
      <c r="B657" s="275"/>
      <c r="C657" s="275"/>
      <c r="D657" s="275"/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5"/>
      <c r="P657" s="275"/>
      <c r="Q657" s="275"/>
      <c r="R657" s="275"/>
      <c r="S657" s="275"/>
      <c r="T657" s="275"/>
      <c r="U657" s="275"/>
      <c r="V657" s="275"/>
      <c r="W657" s="275"/>
      <c r="X657" s="275"/>
      <c r="Y657" s="275"/>
      <c r="Z657" s="275"/>
    </row>
    <row r="658" ht="10.5" customHeight="1">
      <c r="A658" s="275"/>
      <c r="B658" s="275"/>
      <c r="C658" s="275"/>
      <c r="D658" s="275"/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5"/>
      <c r="P658" s="275"/>
      <c r="Q658" s="275"/>
      <c r="R658" s="275"/>
      <c r="S658" s="275"/>
      <c r="T658" s="275"/>
      <c r="U658" s="275"/>
      <c r="V658" s="275"/>
      <c r="W658" s="275"/>
      <c r="X658" s="275"/>
      <c r="Y658" s="275"/>
      <c r="Z658" s="275"/>
    </row>
    <row r="659" ht="10.5" customHeight="1">
      <c r="A659" s="275"/>
      <c r="B659" s="275"/>
      <c r="C659" s="275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</row>
    <row r="660" ht="10.5" customHeight="1">
      <c r="A660" s="275"/>
      <c r="B660" s="275"/>
      <c r="C660" s="275"/>
      <c r="D660" s="275"/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5"/>
      <c r="P660" s="275"/>
      <c r="Q660" s="275"/>
      <c r="R660" s="275"/>
      <c r="S660" s="275"/>
      <c r="T660" s="275"/>
      <c r="U660" s="275"/>
      <c r="V660" s="275"/>
      <c r="W660" s="275"/>
      <c r="X660" s="275"/>
      <c r="Y660" s="275"/>
      <c r="Z660" s="275"/>
    </row>
    <row r="661" ht="10.5" customHeight="1">
      <c r="A661" s="275"/>
      <c r="B661" s="275"/>
      <c r="C661" s="275"/>
      <c r="D661" s="275"/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275"/>
      <c r="Y661" s="275"/>
      <c r="Z661" s="275"/>
    </row>
    <row r="662" ht="10.5" customHeight="1">
      <c r="A662" s="275"/>
      <c r="B662" s="275"/>
      <c r="C662" s="275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</row>
    <row r="663" ht="10.5" customHeight="1">
      <c r="A663" s="275"/>
      <c r="B663" s="275"/>
      <c r="C663" s="275"/>
      <c r="D663" s="275"/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5"/>
      <c r="P663" s="275"/>
      <c r="Q663" s="275"/>
      <c r="R663" s="275"/>
      <c r="S663" s="275"/>
      <c r="T663" s="275"/>
      <c r="U663" s="275"/>
      <c r="V663" s="275"/>
      <c r="W663" s="275"/>
      <c r="X663" s="275"/>
      <c r="Y663" s="275"/>
      <c r="Z663" s="275"/>
    </row>
    <row r="664" ht="10.5" customHeight="1">
      <c r="A664" s="275"/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  <c r="Y664" s="275"/>
      <c r="Z664" s="275"/>
    </row>
    <row r="665" ht="10.5" customHeight="1">
      <c r="A665" s="275"/>
      <c r="B665" s="275"/>
      <c r="C665" s="275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</row>
    <row r="666" ht="10.5" customHeight="1">
      <c r="A666" s="275"/>
      <c r="B666" s="275"/>
      <c r="C666" s="275"/>
      <c r="D666" s="275"/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5"/>
      <c r="P666" s="275"/>
      <c r="Q666" s="275"/>
      <c r="R666" s="275"/>
      <c r="S666" s="275"/>
      <c r="T666" s="275"/>
      <c r="U666" s="275"/>
      <c r="V666" s="275"/>
      <c r="W666" s="275"/>
      <c r="X666" s="275"/>
      <c r="Y666" s="275"/>
      <c r="Z666" s="275"/>
    </row>
    <row r="667" ht="10.5" customHeight="1">
      <c r="A667" s="275"/>
      <c r="B667" s="275"/>
      <c r="C667" s="275"/>
      <c r="D667" s="275"/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  <c r="Q667" s="275"/>
      <c r="R667" s="275"/>
      <c r="S667" s="275"/>
      <c r="T667" s="275"/>
      <c r="U667" s="275"/>
      <c r="V667" s="275"/>
      <c r="W667" s="275"/>
      <c r="X667" s="275"/>
      <c r="Y667" s="275"/>
      <c r="Z667" s="275"/>
    </row>
    <row r="668" ht="10.5" customHeight="1">
      <c r="A668" s="275"/>
      <c r="B668" s="275"/>
      <c r="C668" s="275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</row>
    <row r="669" ht="10.5" customHeight="1">
      <c r="A669" s="275"/>
      <c r="B669" s="275"/>
      <c r="C669" s="275"/>
      <c r="D669" s="275"/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5"/>
      <c r="P669" s="275"/>
      <c r="Q669" s="275"/>
      <c r="R669" s="275"/>
      <c r="S669" s="275"/>
      <c r="T669" s="275"/>
      <c r="U669" s="275"/>
      <c r="V669" s="275"/>
      <c r="W669" s="275"/>
      <c r="X669" s="275"/>
      <c r="Y669" s="275"/>
      <c r="Z669" s="275"/>
    </row>
    <row r="670" ht="10.5" customHeight="1">
      <c r="A670" s="275"/>
      <c r="B670" s="275"/>
      <c r="C670" s="275"/>
      <c r="D670" s="275"/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  <c r="Z670" s="275"/>
    </row>
    <row r="671" ht="10.5" customHeight="1">
      <c r="A671" s="275"/>
      <c r="B671" s="275"/>
      <c r="C671" s="275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</row>
    <row r="672" ht="10.5" customHeight="1">
      <c r="A672" s="275"/>
      <c r="B672" s="275"/>
      <c r="C672" s="275"/>
      <c r="D672" s="275"/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  <c r="Z672" s="275"/>
    </row>
    <row r="673" ht="10.5" customHeight="1">
      <c r="A673" s="275"/>
      <c r="B673" s="275"/>
      <c r="C673" s="275"/>
      <c r="D673" s="275"/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  <c r="Z673" s="275"/>
    </row>
    <row r="674" ht="10.5" customHeight="1">
      <c r="A674" s="275"/>
      <c r="B674" s="275"/>
      <c r="C674" s="275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</row>
    <row r="675" ht="10.5" customHeight="1">
      <c r="A675" s="275"/>
      <c r="B675" s="275"/>
      <c r="C675" s="275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  <c r="Z675" s="275"/>
    </row>
    <row r="676" ht="10.5" customHeight="1">
      <c r="A676" s="275"/>
      <c r="B676" s="275"/>
      <c r="C676" s="275"/>
      <c r="D676" s="275"/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5"/>
      <c r="P676" s="275"/>
      <c r="Q676" s="275"/>
      <c r="R676" s="275"/>
      <c r="S676" s="275"/>
      <c r="T676" s="275"/>
      <c r="U676" s="275"/>
      <c r="V676" s="275"/>
      <c r="W676" s="275"/>
      <c r="X676" s="275"/>
      <c r="Y676" s="275"/>
      <c r="Z676" s="275"/>
    </row>
    <row r="677" ht="10.5" customHeight="1">
      <c r="A677" s="275"/>
      <c r="B677" s="275"/>
      <c r="C677" s="275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</row>
    <row r="678" ht="10.5" customHeight="1">
      <c r="A678" s="275"/>
      <c r="B678" s="275"/>
      <c r="C678" s="275"/>
      <c r="D678" s="275"/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75"/>
      <c r="X678" s="275"/>
      <c r="Y678" s="275"/>
      <c r="Z678" s="275"/>
    </row>
    <row r="679" ht="10.5" customHeight="1">
      <c r="A679" s="275"/>
      <c r="B679" s="275"/>
      <c r="C679" s="275"/>
      <c r="D679" s="275"/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75"/>
      <c r="Y679" s="275"/>
      <c r="Z679" s="275"/>
    </row>
    <row r="680" ht="10.5" customHeight="1">
      <c r="A680" s="275"/>
      <c r="B680" s="275"/>
      <c r="C680" s="275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</row>
    <row r="681" ht="10.5" customHeight="1">
      <c r="A681" s="275"/>
      <c r="B681" s="275"/>
      <c r="C681" s="275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  <c r="Z681" s="275"/>
    </row>
    <row r="682" ht="10.5" customHeight="1">
      <c r="A682" s="275"/>
      <c r="B682" s="275"/>
      <c r="C682" s="275"/>
      <c r="D682" s="275"/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5"/>
      <c r="P682" s="275"/>
      <c r="Q682" s="275"/>
      <c r="R682" s="275"/>
      <c r="S682" s="275"/>
      <c r="T682" s="275"/>
      <c r="U682" s="275"/>
      <c r="V682" s="275"/>
      <c r="W682" s="275"/>
      <c r="X682" s="275"/>
      <c r="Y682" s="275"/>
      <c r="Z682" s="275"/>
    </row>
    <row r="683" ht="10.5" customHeight="1">
      <c r="A683" s="275"/>
      <c r="B683" s="275"/>
      <c r="C683" s="275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</row>
    <row r="684" ht="10.5" customHeight="1">
      <c r="A684" s="275"/>
      <c r="B684" s="275"/>
      <c r="C684" s="275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  <c r="S684" s="275"/>
      <c r="T684" s="275"/>
      <c r="U684" s="275"/>
      <c r="V684" s="275"/>
      <c r="W684" s="275"/>
      <c r="X684" s="275"/>
      <c r="Y684" s="275"/>
      <c r="Z684" s="275"/>
    </row>
    <row r="685" ht="10.5" customHeight="1">
      <c r="A685" s="275"/>
      <c r="B685" s="275"/>
      <c r="C685" s="275"/>
      <c r="D685" s="27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275"/>
      <c r="Q685" s="275"/>
      <c r="R685" s="275"/>
      <c r="S685" s="275"/>
      <c r="T685" s="275"/>
      <c r="U685" s="275"/>
      <c r="V685" s="275"/>
      <c r="W685" s="275"/>
      <c r="X685" s="275"/>
      <c r="Y685" s="275"/>
      <c r="Z685" s="275"/>
    </row>
    <row r="686" ht="10.5" customHeight="1">
      <c r="A686" s="275"/>
      <c r="B686" s="275"/>
      <c r="C686" s="275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</row>
    <row r="687" ht="10.5" customHeight="1">
      <c r="A687" s="275"/>
      <c r="B687" s="275"/>
      <c r="C687" s="275"/>
      <c r="D687" s="275"/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5"/>
      <c r="P687" s="275"/>
      <c r="Q687" s="275"/>
      <c r="R687" s="275"/>
      <c r="S687" s="275"/>
      <c r="T687" s="275"/>
      <c r="U687" s="275"/>
      <c r="V687" s="275"/>
      <c r="W687" s="275"/>
      <c r="X687" s="275"/>
      <c r="Y687" s="275"/>
      <c r="Z687" s="275"/>
    </row>
    <row r="688" ht="10.5" customHeight="1">
      <c r="A688" s="275"/>
      <c r="B688" s="275"/>
      <c r="C688" s="275"/>
      <c r="D688" s="275"/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5"/>
      <c r="P688" s="275"/>
      <c r="Q688" s="275"/>
      <c r="R688" s="275"/>
      <c r="S688" s="275"/>
      <c r="T688" s="275"/>
      <c r="U688" s="275"/>
      <c r="V688" s="275"/>
      <c r="W688" s="275"/>
      <c r="X688" s="275"/>
      <c r="Y688" s="275"/>
      <c r="Z688" s="275"/>
    </row>
    <row r="689" ht="10.5" customHeight="1">
      <c r="A689" s="275"/>
      <c r="B689" s="275"/>
      <c r="C689" s="275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</row>
    <row r="690" ht="10.5" customHeight="1">
      <c r="A690" s="275"/>
      <c r="B690" s="275"/>
      <c r="C690" s="275"/>
      <c r="D690" s="275"/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5"/>
      <c r="P690" s="275"/>
      <c r="Q690" s="275"/>
      <c r="R690" s="275"/>
      <c r="S690" s="275"/>
      <c r="T690" s="275"/>
      <c r="U690" s="275"/>
      <c r="V690" s="275"/>
      <c r="W690" s="275"/>
      <c r="X690" s="275"/>
      <c r="Y690" s="275"/>
      <c r="Z690" s="275"/>
    </row>
    <row r="691" ht="10.5" customHeight="1">
      <c r="A691" s="275"/>
      <c r="B691" s="275"/>
      <c r="C691" s="275"/>
      <c r="D691" s="275"/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5"/>
      <c r="P691" s="275"/>
      <c r="Q691" s="275"/>
      <c r="R691" s="275"/>
      <c r="S691" s="275"/>
      <c r="T691" s="275"/>
      <c r="U691" s="275"/>
      <c r="V691" s="275"/>
      <c r="W691" s="275"/>
      <c r="X691" s="275"/>
      <c r="Y691" s="275"/>
      <c r="Z691" s="275"/>
    </row>
    <row r="692" ht="10.5" customHeight="1">
      <c r="A692" s="275"/>
      <c r="B692" s="275"/>
      <c r="C692" s="275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</row>
    <row r="693" ht="10.5" customHeight="1">
      <c r="A693" s="275"/>
      <c r="B693" s="275"/>
      <c r="C693" s="275"/>
      <c r="D693" s="275"/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5"/>
      <c r="P693" s="275"/>
      <c r="Q693" s="275"/>
      <c r="R693" s="275"/>
      <c r="S693" s="275"/>
      <c r="T693" s="275"/>
      <c r="U693" s="275"/>
      <c r="V693" s="275"/>
      <c r="W693" s="275"/>
      <c r="X693" s="275"/>
      <c r="Y693" s="275"/>
      <c r="Z693" s="275"/>
    </row>
    <row r="694" ht="10.5" customHeight="1">
      <c r="A694" s="275"/>
      <c r="B694" s="275"/>
      <c r="C694" s="275"/>
      <c r="D694" s="275"/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5"/>
      <c r="P694" s="275"/>
      <c r="Q694" s="275"/>
      <c r="R694" s="275"/>
      <c r="S694" s="275"/>
      <c r="T694" s="275"/>
      <c r="U694" s="275"/>
      <c r="V694" s="275"/>
      <c r="W694" s="275"/>
      <c r="X694" s="275"/>
      <c r="Y694" s="275"/>
      <c r="Z694" s="275"/>
    </row>
    <row r="695" ht="10.5" customHeight="1">
      <c r="A695" s="275"/>
      <c r="B695" s="275"/>
      <c r="C695" s="275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</row>
    <row r="696" ht="10.5" customHeight="1">
      <c r="A696" s="275"/>
      <c r="B696" s="275"/>
      <c r="C696" s="275"/>
      <c r="D696" s="275"/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5"/>
      <c r="P696" s="275"/>
      <c r="Q696" s="275"/>
      <c r="R696" s="275"/>
      <c r="S696" s="275"/>
      <c r="T696" s="275"/>
      <c r="U696" s="275"/>
      <c r="V696" s="275"/>
      <c r="W696" s="275"/>
      <c r="X696" s="275"/>
      <c r="Y696" s="275"/>
      <c r="Z696" s="275"/>
    </row>
    <row r="697" ht="10.5" customHeight="1">
      <c r="A697" s="275"/>
      <c r="B697" s="275"/>
      <c r="C697" s="275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5"/>
      <c r="P697" s="275"/>
      <c r="Q697" s="275"/>
      <c r="R697" s="275"/>
      <c r="S697" s="275"/>
      <c r="T697" s="275"/>
      <c r="U697" s="275"/>
      <c r="V697" s="275"/>
      <c r="W697" s="275"/>
      <c r="X697" s="275"/>
      <c r="Y697" s="275"/>
      <c r="Z697" s="275"/>
    </row>
    <row r="698" ht="10.5" customHeight="1">
      <c r="A698" s="275"/>
      <c r="B698" s="275"/>
      <c r="C698" s="275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</row>
    <row r="699" ht="10.5" customHeight="1">
      <c r="A699" s="275"/>
      <c r="B699" s="275"/>
      <c r="C699" s="275"/>
      <c r="D699" s="275"/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  <c r="S699" s="275"/>
      <c r="T699" s="275"/>
      <c r="U699" s="275"/>
      <c r="V699" s="275"/>
      <c r="W699" s="275"/>
      <c r="X699" s="275"/>
      <c r="Y699" s="275"/>
      <c r="Z699" s="275"/>
    </row>
    <row r="700" ht="10.5" customHeight="1">
      <c r="A700" s="275"/>
      <c r="B700" s="275"/>
      <c r="C700" s="275"/>
      <c r="D700" s="275"/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5"/>
      <c r="P700" s="275"/>
      <c r="Q700" s="275"/>
      <c r="R700" s="275"/>
      <c r="S700" s="275"/>
      <c r="T700" s="275"/>
      <c r="U700" s="275"/>
      <c r="V700" s="275"/>
      <c r="W700" s="275"/>
      <c r="X700" s="275"/>
      <c r="Y700" s="275"/>
      <c r="Z700" s="275"/>
    </row>
    <row r="701" ht="10.5" customHeight="1">
      <c r="A701" s="275"/>
      <c r="B701" s="275"/>
      <c r="C701" s="275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</row>
    <row r="702" ht="10.5" customHeight="1">
      <c r="A702" s="275"/>
      <c r="B702" s="275"/>
      <c r="C702" s="275"/>
      <c r="D702" s="275"/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  <c r="S702" s="275"/>
      <c r="T702" s="275"/>
      <c r="U702" s="275"/>
      <c r="V702" s="275"/>
      <c r="W702" s="275"/>
      <c r="X702" s="275"/>
      <c r="Y702" s="275"/>
      <c r="Z702" s="275"/>
    </row>
    <row r="703" ht="10.5" customHeight="1">
      <c r="A703" s="275"/>
      <c r="B703" s="275"/>
      <c r="C703" s="275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  <c r="Y703" s="275"/>
      <c r="Z703" s="275"/>
    </row>
    <row r="704" ht="10.5" customHeight="1">
      <c r="A704" s="275"/>
      <c r="B704" s="275"/>
      <c r="C704" s="275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</row>
    <row r="705" ht="10.5" customHeight="1">
      <c r="A705" s="275"/>
      <c r="B705" s="275"/>
      <c r="C705" s="275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5"/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  <c r="Z705" s="275"/>
    </row>
    <row r="706" ht="10.5" customHeight="1">
      <c r="A706" s="275"/>
      <c r="B706" s="275"/>
      <c r="C706" s="275"/>
      <c r="D706" s="275"/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5"/>
      <c r="P706" s="275"/>
      <c r="Q706" s="275"/>
      <c r="R706" s="275"/>
      <c r="S706" s="275"/>
      <c r="T706" s="275"/>
      <c r="U706" s="275"/>
      <c r="V706" s="275"/>
      <c r="W706" s="275"/>
      <c r="X706" s="275"/>
      <c r="Y706" s="275"/>
      <c r="Z706" s="275"/>
    </row>
    <row r="707" ht="10.5" customHeight="1">
      <c r="A707" s="275"/>
      <c r="B707" s="275"/>
      <c r="C707" s="275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</row>
    <row r="708" ht="10.5" customHeight="1">
      <c r="A708" s="275"/>
      <c r="B708" s="275"/>
      <c r="C708" s="275"/>
      <c r="D708" s="275"/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5"/>
      <c r="P708" s="275"/>
      <c r="Q708" s="275"/>
      <c r="R708" s="275"/>
      <c r="S708" s="275"/>
      <c r="T708" s="275"/>
      <c r="U708" s="275"/>
      <c r="V708" s="275"/>
      <c r="W708" s="275"/>
      <c r="X708" s="275"/>
      <c r="Y708" s="275"/>
      <c r="Z708" s="275"/>
    </row>
    <row r="709" ht="10.5" customHeight="1">
      <c r="A709" s="275"/>
      <c r="B709" s="275"/>
      <c r="C709" s="275"/>
      <c r="D709" s="275"/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5"/>
      <c r="P709" s="275"/>
      <c r="Q709" s="275"/>
      <c r="R709" s="275"/>
      <c r="S709" s="275"/>
      <c r="T709" s="275"/>
      <c r="U709" s="275"/>
      <c r="V709" s="275"/>
      <c r="W709" s="275"/>
      <c r="X709" s="275"/>
      <c r="Y709" s="275"/>
      <c r="Z709" s="275"/>
    </row>
    <row r="710" ht="10.5" customHeight="1">
      <c r="A710" s="275"/>
      <c r="B710" s="275"/>
      <c r="C710" s="275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</row>
    <row r="711" ht="10.5" customHeight="1">
      <c r="A711" s="275"/>
      <c r="B711" s="275"/>
      <c r="C711" s="275"/>
      <c r="D711" s="275"/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5"/>
      <c r="P711" s="275"/>
      <c r="Q711" s="275"/>
      <c r="R711" s="275"/>
      <c r="S711" s="275"/>
      <c r="T711" s="275"/>
      <c r="U711" s="275"/>
      <c r="V711" s="275"/>
      <c r="W711" s="275"/>
      <c r="X711" s="275"/>
      <c r="Y711" s="275"/>
      <c r="Z711" s="275"/>
    </row>
    <row r="712" ht="10.5" customHeight="1">
      <c r="A712" s="275"/>
      <c r="B712" s="275"/>
      <c r="C712" s="275"/>
      <c r="D712" s="275"/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5"/>
      <c r="P712" s="275"/>
      <c r="Q712" s="275"/>
      <c r="R712" s="275"/>
      <c r="S712" s="275"/>
      <c r="T712" s="275"/>
      <c r="U712" s="275"/>
      <c r="V712" s="275"/>
      <c r="W712" s="275"/>
      <c r="X712" s="275"/>
      <c r="Y712" s="275"/>
      <c r="Z712" s="275"/>
    </row>
    <row r="713" ht="10.5" customHeight="1">
      <c r="A713" s="275"/>
      <c r="B713" s="275"/>
      <c r="C713" s="275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</row>
    <row r="714" ht="10.5" customHeight="1">
      <c r="A714" s="275"/>
      <c r="B714" s="275"/>
      <c r="C714" s="275"/>
      <c r="D714" s="275"/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5"/>
      <c r="P714" s="275"/>
      <c r="Q714" s="275"/>
      <c r="R714" s="275"/>
      <c r="S714" s="275"/>
      <c r="T714" s="275"/>
      <c r="U714" s="275"/>
      <c r="V714" s="275"/>
      <c r="W714" s="275"/>
      <c r="X714" s="275"/>
      <c r="Y714" s="275"/>
      <c r="Z714" s="275"/>
    </row>
    <row r="715" ht="10.5" customHeight="1">
      <c r="A715" s="275"/>
      <c r="B715" s="275"/>
      <c r="C715" s="275"/>
      <c r="D715" s="275"/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5"/>
      <c r="P715" s="275"/>
      <c r="Q715" s="275"/>
      <c r="R715" s="275"/>
      <c r="S715" s="275"/>
      <c r="T715" s="275"/>
      <c r="U715" s="275"/>
      <c r="V715" s="275"/>
      <c r="W715" s="275"/>
      <c r="X715" s="275"/>
      <c r="Y715" s="275"/>
      <c r="Z715" s="275"/>
    </row>
    <row r="716" ht="10.5" customHeight="1">
      <c r="A716" s="275"/>
      <c r="B716" s="275"/>
      <c r="C716" s="275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</row>
    <row r="717" ht="10.5" customHeight="1">
      <c r="A717" s="275"/>
      <c r="B717" s="275"/>
      <c r="C717" s="275"/>
      <c r="D717" s="275"/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5"/>
      <c r="P717" s="275"/>
      <c r="Q717" s="275"/>
      <c r="R717" s="275"/>
      <c r="S717" s="275"/>
      <c r="T717" s="275"/>
      <c r="U717" s="275"/>
      <c r="V717" s="275"/>
      <c r="W717" s="275"/>
      <c r="X717" s="275"/>
      <c r="Y717" s="275"/>
      <c r="Z717" s="275"/>
    </row>
    <row r="718" ht="10.5" customHeight="1">
      <c r="A718" s="275"/>
      <c r="B718" s="275"/>
      <c r="C718" s="275"/>
      <c r="D718" s="275"/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  <c r="S718" s="275"/>
      <c r="T718" s="275"/>
      <c r="U718" s="275"/>
      <c r="V718" s="275"/>
      <c r="W718" s="275"/>
      <c r="X718" s="275"/>
      <c r="Y718" s="275"/>
      <c r="Z718" s="275"/>
    </row>
    <row r="719" ht="10.5" customHeight="1">
      <c r="A719" s="275"/>
      <c r="B719" s="275"/>
      <c r="C719" s="275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</row>
    <row r="720" ht="10.5" customHeight="1">
      <c r="A720" s="275"/>
      <c r="B720" s="275"/>
      <c r="C720" s="275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75"/>
      <c r="Q720" s="275"/>
      <c r="R720" s="275"/>
      <c r="S720" s="275"/>
      <c r="T720" s="275"/>
      <c r="U720" s="275"/>
      <c r="V720" s="275"/>
      <c r="W720" s="275"/>
      <c r="X720" s="275"/>
      <c r="Y720" s="275"/>
      <c r="Z720" s="275"/>
    </row>
    <row r="721" ht="10.5" customHeight="1">
      <c r="A721" s="275"/>
      <c r="B721" s="275"/>
      <c r="C721" s="275"/>
      <c r="D721" s="275"/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5"/>
      <c r="P721" s="275"/>
      <c r="Q721" s="275"/>
      <c r="R721" s="275"/>
      <c r="S721" s="275"/>
      <c r="T721" s="275"/>
      <c r="U721" s="275"/>
      <c r="V721" s="275"/>
      <c r="W721" s="275"/>
      <c r="X721" s="275"/>
      <c r="Y721" s="275"/>
      <c r="Z721" s="275"/>
    </row>
    <row r="722" ht="10.5" customHeight="1">
      <c r="A722" s="275"/>
      <c r="B722" s="275"/>
      <c r="C722" s="275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</row>
    <row r="723" ht="10.5" customHeight="1">
      <c r="A723" s="275"/>
      <c r="B723" s="275"/>
      <c r="C723" s="275"/>
      <c r="D723" s="275"/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5"/>
      <c r="P723" s="275"/>
      <c r="Q723" s="275"/>
      <c r="R723" s="275"/>
      <c r="S723" s="275"/>
      <c r="T723" s="275"/>
      <c r="U723" s="275"/>
      <c r="V723" s="275"/>
      <c r="W723" s="275"/>
      <c r="X723" s="275"/>
      <c r="Y723" s="275"/>
      <c r="Z723" s="275"/>
    </row>
    <row r="724" ht="10.5" customHeight="1">
      <c r="A724" s="275"/>
      <c r="B724" s="275"/>
      <c r="C724" s="275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5"/>
      <c r="P724" s="275"/>
      <c r="Q724" s="275"/>
      <c r="R724" s="275"/>
      <c r="S724" s="275"/>
      <c r="T724" s="275"/>
      <c r="U724" s="275"/>
      <c r="V724" s="275"/>
      <c r="W724" s="275"/>
      <c r="X724" s="275"/>
      <c r="Y724" s="275"/>
      <c r="Z724" s="275"/>
    </row>
    <row r="725" ht="10.5" customHeight="1">
      <c r="A725" s="275"/>
      <c r="B725" s="275"/>
      <c r="C725" s="275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</row>
    <row r="726" ht="10.5" customHeight="1">
      <c r="A726" s="275"/>
      <c r="B726" s="275"/>
      <c r="C726" s="275"/>
      <c r="D726" s="275"/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5"/>
      <c r="P726" s="275"/>
      <c r="Q726" s="275"/>
      <c r="R726" s="275"/>
      <c r="S726" s="275"/>
      <c r="T726" s="275"/>
      <c r="U726" s="275"/>
      <c r="V726" s="275"/>
      <c r="W726" s="275"/>
      <c r="X726" s="275"/>
      <c r="Y726" s="275"/>
      <c r="Z726" s="275"/>
    </row>
    <row r="727" ht="10.5" customHeight="1">
      <c r="A727" s="275"/>
      <c r="B727" s="275"/>
      <c r="C727" s="275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5"/>
      <c r="P727" s="275"/>
      <c r="Q727" s="275"/>
      <c r="R727" s="275"/>
      <c r="S727" s="275"/>
      <c r="T727" s="275"/>
      <c r="U727" s="275"/>
      <c r="V727" s="275"/>
      <c r="W727" s="275"/>
      <c r="X727" s="275"/>
      <c r="Y727" s="275"/>
      <c r="Z727" s="275"/>
    </row>
    <row r="728" ht="10.5" customHeight="1">
      <c r="A728" s="275"/>
      <c r="B728" s="275"/>
      <c r="C728" s="275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</row>
    <row r="729" ht="10.5" customHeight="1">
      <c r="A729" s="275"/>
      <c r="B729" s="275"/>
      <c r="C729" s="275"/>
      <c r="D729" s="275"/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  <c r="S729" s="275"/>
      <c r="T729" s="275"/>
      <c r="U729" s="275"/>
      <c r="V729" s="275"/>
      <c r="W729" s="275"/>
      <c r="X729" s="275"/>
      <c r="Y729" s="275"/>
      <c r="Z729" s="275"/>
    </row>
    <row r="730" ht="10.5" customHeight="1">
      <c r="A730" s="275"/>
      <c r="B730" s="275"/>
      <c r="C730" s="275"/>
      <c r="D730" s="275"/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5"/>
      <c r="P730" s="275"/>
      <c r="Q730" s="275"/>
      <c r="R730" s="275"/>
      <c r="S730" s="275"/>
      <c r="T730" s="275"/>
      <c r="U730" s="275"/>
      <c r="V730" s="275"/>
      <c r="W730" s="275"/>
      <c r="X730" s="275"/>
      <c r="Y730" s="275"/>
      <c r="Z730" s="275"/>
    </row>
    <row r="731" ht="10.5" customHeight="1">
      <c r="A731" s="275"/>
      <c r="B731" s="275"/>
      <c r="C731" s="275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</row>
    <row r="732" ht="10.5" customHeight="1">
      <c r="A732" s="275"/>
      <c r="B732" s="275"/>
      <c r="C732" s="275"/>
      <c r="D732" s="275"/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5"/>
      <c r="P732" s="275"/>
      <c r="Q732" s="275"/>
      <c r="R732" s="275"/>
      <c r="S732" s="275"/>
      <c r="T732" s="275"/>
      <c r="U732" s="275"/>
      <c r="V732" s="275"/>
      <c r="W732" s="275"/>
      <c r="X732" s="275"/>
      <c r="Y732" s="275"/>
      <c r="Z732" s="275"/>
    </row>
    <row r="733" ht="10.5" customHeight="1">
      <c r="A733" s="275"/>
      <c r="B733" s="275"/>
      <c r="C733" s="275"/>
      <c r="D733" s="275"/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5"/>
      <c r="P733" s="275"/>
      <c r="Q733" s="275"/>
      <c r="R733" s="275"/>
      <c r="S733" s="275"/>
      <c r="T733" s="275"/>
      <c r="U733" s="275"/>
      <c r="V733" s="275"/>
      <c r="W733" s="275"/>
      <c r="X733" s="275"/>
      <c r="Y733" s="275"/>
      <c r="Z733" s="275"/>
    </row>
    <row r="734" ht="10.5" customHeight="1">
      <c r="A734" s="275"/>
      <c r="B734" s="275"/>
      <c r="C734" s="275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</row>
    <row r="735" ht="10.5" customHeight="1">
      <c r="A735" s="275"/>
      <c r="B735" s="275"/>
      <c r="C735" s="275"/>
      <c r="D735" s="275"/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5"/>
      <c r="P735" s="275"/>
      <c r="Q735" s="275"/>
      <c r="R735" s="275"/>
      <c r="S735" s="275"/>
      <c r="T735" s="275"/>
      <c r="U735" s="275"/>
      <c r="V735" s="275"/>
      <c r="W735" s="275"/>
      <c r="X735" s="275"/>
      <c r="Y735" s="275"/>
      <c r="Z735" s="275"/>
    </row>
    <row r="736" ht="10.5" customHeight="1">
      <c r="A736" s="275"/>
      <c r="B736" s="275"/>
      <c r="C736" s="275"/>
      <c r="D736" s="275"/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5"/>
      <c r="P736" s="275"/>
      <c r="Q736" s="275"/>
      <c r="R736" s="275"/>
      <c r="S736" s="275"/>
      <c r="T736" s="275"/>
      <c r="U736" s="275"/>
      <c r="V736" s="275"/>
      <c r="W736" s="275"/>
      <c r="X736" s="275"/>
      <c r="Y736" s="275"/>
      <c r="Z736" s="275"/>
    </row>
    <row r="737" ht="10.5" customHeight="1">
      <c r="A737" s="275"/>
      <c r="B737" s="275"/>
      <c r="C737" s="275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</row>
    <row r="738" ht="10.5" customHeight="1">
      <c r="A738" s="275"/>
      <c r="B738" s="275"/>
      <c r="C738" s="275"/>
      <c r="D738" s="275"/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5"/>
      <c r="P738" s="275"/>
      <c r="Q738" s="275"/>
      <c r="R738" s="275"/>
      <c r="S738" s="275"/>
      <c r="T738" s="275"/>
      <c r="U738" s="275"/>
      <c r="V738" s="275"/>
      <c r="W738" s="275"/>
      <c r="X738" s="275"/>
      <c r="Y738" s="275"/>
      <c r="Z738" s="275"/>
    </row>
    <row r="739" ht="10.5" customHeight="1">
      <c r="A739" s="275"/>
      <c r="B739" s="275"/>
      <c r="C739" s="275"/>
      <c r="D739" s="275"/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5"/>
      <c r="P739" s="275"/>
      <c r="Q739" s="275"/>
      <c r="R739" s="275"/>
      <c r="S739" s="275"/>
      <c r="T739" s="275"/>
      <c r="U739" s="275"/>
      <c r="V739" s="275"/>
      <c r="W739" s="275"/>
      <c r="X739" s="275"/>
      <c r="Y739" s="275"/>
      <c r="Z739" s="275"/>
    </row>
    <row r="740" ht="10.5" customHeight="1">
      <c r="A740" s="275"/>
      <c r="B740" s="275"/>
      <c r="C740" s="275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</row>
    <row r="741" ht="10.5" customHeight="1">
      <c r="A741" s="275"/>
      <c r="B741" s="275"/>
      <c r="C741" s="275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5"/>
      <c r="P741" s="275"/>
      <c r="Q741" s="275"/>
      <c r="R741" s="275"/>
      <c r="S741" s="275"/>
      <c r="T741" s="275"/>
      <c r="U741" s="275"/>
      <c r="V741" s="275"/>
      <c r="W741" s="275"/>
      <c r="X741" s="275"/>
      <c r="Y741" s="275"/>
      <c r="Z741" s="275"/>
    </row>
    <row r="742" ht="10.5" customHeight="1">
      <c r="A742" s="275"/>
      <c r="B742" s="275"/>
      <c r="C742" s="275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  <c r="Y742" s="275"/>
      <c r="Z742" s="275"/>
    </row>
    <row r="743" ht="10.5" customHeight="1">
      <c r="A743" s="275"/>
      <c r="B743" s="275"/>
      <c r="C743" s="275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</row>
    <row r="744" ht="10.5" customHeight="1">
      <c r="A744" s="275"/>
      <c r="B744" s="275"/>
      <c r="C744" s="275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5"/>
      <c r="P744" s="275"/>
      <c r="Q744" s="275"/>
      <c r="R744" s="275"/>
      <c r="S744" s="275"/>
      <c r="T744" s="275"/>
      <c r="U744" s="275"/>
      <c r="V744" s="275"/>
      <c r="W744" s="275"/>
      <c r="X744" s="275"/>
      <c r="Y744" s="275"/>
      <c r="Z744" s="275"/>
    </row>
    <row r="745" ht="10.5" customHeight="1">
      <c r="A745" s="275"/>
      <c r="B745" s="275"/>
      <c r="C745" s="275"/>
      <c r="D745" s="275"/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5"/>
      <c r="P745" s="275"/>
      <c r="Q745" s="275"/>
      <c r="R745" s="275"/>
      <c r="S745" s="275"/>
      <c r="T745" s="275"/>
      <c r="U745" s="275"/>
      <c r="V745" s="275"/>
      <c r="W745" s="275"/>
      <c r="X745" s="275"/>
      <c r="Y745" s="275"/>
      <c r="Z745" s="275"/>
    </row>
    <row r="746" ht="10.5" customHeight="1">
      <c r="A746" s="275"/>
      <c r="B746" s="275"/>
      <c r="C746" s="275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</row>
    <row r="747" ht="10.5" customHeight="1">
      <c r="A747" s="275"/>
      <c r="B747" s="275"/>
      <c r="C747" s="275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5"/>
      <c r="P747" s="275"/>
      <c r="Q747" s="275"/>
      <c r="R747" s="275"/>
      <c r="S747" s="275"/>
      <c r="T747" s="275"/>
      <c r="U747" s="275"/>
      <c r="V747" s="275"/>
      <c r="W747" s="275"/>
      <c r="X747" s="275"/>
      <c r="Y747" s="275"/>
      <c r="Z747" s="275"/>
    </row>
    <row r="748" ht="10.5" customHeight="1">
      <c r="A748" s="275"/>
      <c r="B748" s="275"/>
      <c r="C748" s="275"/>
      <c r="D748" s="275"/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5"/>
      <c r="P748" s="275"/>
      <c r="Q748" s="275"/>
      <c r="R748" s="275"/>
      <c r="S748" s="275"/>
      <c r="T748" s="275"/>
      <c r="U748" s="275"/>
      <c r="V748" s="275"/>
      <c r="W748" s="275"/>
      <c r="X748" s="275"/>
      <c r="Y748" s="275"/>
      <c r="Z748" s="275"/>
    </row>
    <row r="749" ht="10.5" customHeight="1">
      <c r="A749" s="275"/>
      <c r="B749" s="275"/>
      <c r="C749" s="275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</row>
    <row r="750" ht="10.5" customHeight="1">
      <c r="A750" s="275"/>
      <c r="B750" s="275"/>
      <c r="C750" s="275"/>
      <c r="D750" s="275"/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5"/>
      <c r="P750" s="275"/>
      <c r="Q750" s="275"/>
      <c r="R750" s="275"/>
      <c r="S750" s="275"/>
      <c r="T750" s="275"/>
      <c r="U750" s="275"/>
      <c r="V750" s="275"/>
      <c r="W750" s="275"/>
      <c r="X750" s="275"/>
      <c r="Y750" s="275"/>
      <c r="Z750" s="275"/>
    </row>
    <row r="751" ht="10.5" customHeight="1">
      <c r="A751" s="275"/>
      <c r="B751" s="275"/>
      <c r="C751" s="275"/>
      <c r="D751" s="275"/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5"/>
      <c r="P751" s="275"/>
      <c r="Q751" s="275"/>
      <c r="R751" s="275"/>
      <c r="S751" s="275"/>
      <c r="T751" s="275"/>
      <c r="U751" s="275"/>
      <c r="V751" s="275"/>
      <c r="W751" s="275"/>
      <c r="X751" s="275"/>
      <c r="Y751" s="275"/>
      <c r="Z751" s="275"/>
    </row>
    <row r="752" ht="10.5" customHeight="1">
      <c r="A752" s="275"/>
      <c r="B752" s="275"/>
      <c r="C752" s="275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</row>
    <row r="753" ht="10.5" customHeight="1">
      <c r="A753" s="275"/>
      <c r="B753" s="275"/>
      <c r="C753" s="275"/>
      <c r="D753" s="275"/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5"/>
      <c r="P753" s="275"/>
      <c r="Q753" s="275"/>
      <c r="R753" s="275"/>
      <c r="S753" s="275"/>
      <c r="T753" s="275"/>
      <c r="U753" s="275"/>
      <c r="V753" s="275"/>
      <c r="W753" s="275"/>
      <c r="X753" s="275"/>
      <c r="Y753" s="275"/>
      <c r="Z753" s="275"/>
    </row>
    <row r="754" ht="10.5" customHeight="1">
      <c r="A754" s="275"/>
      <c r="B754" s="275"/>
      <c r="C754" s="275"/>
      <c r="D754" s="275"/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5"/>
      <c r="P754" s="275"/>
      <c r="Q754" s="275"/>
      <c r="R754" s="275"/>
      <c r="S754" s="275"/>
      <c r="T754" s="275"/>
      <c r="U754" s="275"/>
      <c r="V754" s="275"/>
      <c r="W754" s="275"/>
      <c r="X754" s="275"/>
      <c r="Y754" s="275"/>
      <c r="Z754" s="275"/>
    </row>
    <row r="755" ht="10.5" customHeight="1">
      <c r="A755" s="275"/>
      <c r="B755" s="275"/>
      <c r="C755" s="275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</row>
    <row r="756" ht="10.5" customHeight="1">
      <c r="A756" s="275"/>
      <c r="B756" s="275"/>
      <c r="C756" s="275"/>
      <c r="D756" s="275"/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5"/>
      <c r="P756" s="275"/>
      <c r="Q756" s="275"/>
      <c r="R756" s="275"/>
      <c r="S756" s="275"/>
      <c r="T756" s="275"/>
      <c r="U756" s="275"/>
      <c r="V756" s="275"/>
      <c r="W756" s="275"/>
      <c r="X756" s="275"/>
      <c r="Y756" s="275"/>
      <c r="Z756" s="275"/>
    </row>
    <row r="757" ht="10.5" customHeight="1">
      <c r="A757" s="275"/>
      <c r="B757" s="275"/>
      <c r="C757" s="275"/>
      <c r="D757" s="275"/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5"/>
      <c r="P757" s="275"/>
      <c r="Q757" s="275"/>
      <c r="R757" s="275"/>
      <c r="S757" s="275"/>
      <c r="T757" s="275"/>
      <c r="U757" s="275"/>
      <c r="V757" s="275"/>
      <c r="W757" s="275"/>
      <c r="X757" s="275"/>
      <c r="Y757" s="275"/>
      <c r="Z757" s="275"/>
    </row>
    <row r="758" ht="10.5" customHeight="1">
      <c r="A758" s="275"/>
      <c r="B758" s="275"/>
      <c r="C758" s="275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</row>
    <row r="759" ht="10.5" customHeight="1">
      <c r="A759" s="275"/>
      <c r="B759" s="275"/>
      <c r="C759" s="275"/>
      <c r="D759" s="275"/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5"/>
      <c r="P759" s="275"/>
      <c r="Q759" s="275"/>
      <c r="R759" s="275"/>
      <c r="S759" s="275"/>
      <c r="T759" s="275"/>
      <c r="U759" s="275"/>
      <c r="V759" s="275"/>
      <c r="W759" s="275"/>
      <c r="X759" s="275"/>
      <c r="Y759" s="275"/>
      <c r="Z759" s="275"/>
    </row>
    <row r="760" ht="10.5" customHeight="1">
      <c r="A760" s="275"/>
      <c r="B760" s="275"/>
      <c r="C760" s="275"/>
      <c r="D760" s="275"/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5"/>
      <c r="P760" s="275"/>
      <c r="Q760" s="275"/>
      <c r="R760" s="275"/>
      <c r="S760" s="275"/>
      <c r="T760" s="275"/>
      <c r="U760" s="275"/>
      <c r="V760" s="275"/>
      <c r="W760" s="275"/>
      <c r="X760" s="275"/>
      <c r="Y760" s="275"/>
      <c r="Z760" s="275"/>
    </row>
    <row r="761" ht="10.5" customHeight="1">
      <c r="A761" s="275"/>
      <c r="B761" s="275"/>
      <c r="C761" s="275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</row>
    <row r="762" ht="10.5" customHeight="1">
      <c r="A762" s="275"/>
      <c r="B762" s="275"/>
      <c r="C762" s="275"/>
      <c r="D762" s="275"/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5"/>
      <c r="P762" s="275"/>
      <c r="Q762" s="275"/>
      <c r="R762" s="275"/>
      <c r="S762" s="275"/>
      <c r="T762" s="275"/>
      <c r="U762" s="275"/>
      <c r="V762" s="275"/>
      <c r="W762" s="275"/>
      <c r="X762" s="275"/>
      <c r="Y762" s="275"/>
      <c r="Z762" s="275"/>
    </row>
    <row r="763" ht="10.5" customHeight="1">
      <c r="A763" s="275"/>
      <c r="B763" s="275"/>
      <c r="C763" s="275"/>
      <c r="D763" s="275"/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5"/>
      <c r="P763" s="275"/>
      <c r="Q763" s="275"/>
      <c r="R763" s="275"/>
      <c r="S763" s="275"/>
      <c r="T763" s="275"/>
      <c r="U763" s="275"/>
      <c r="V763" s="275"/>
      <c r="W763" s="275"/>
      <c r="X763" s="275"/>
      <c r="Y763" s="275"/>
      <c r="Z763" s="275"/>
    </row>
    <row r="764" ht="10.5" customHeight="1">
      <c r="A764" s="275"/>
      <c r="B764" s="275"/>
      <c r="C764" s="275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</row>
    <row r="765" ht="10.5" customHeight="1">
      <c r="A765" s="275"/>
      <c r="B765" s="275"/>
      <c r="C765" s="275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75"/>
      <c r="Q765" s="275"/>
      <c r="R765" s="275"/>
      <c r="S765" s="275"/>
      <c r="T765" s="275"/>
      <c r="U765" s="275"/>
      <c r="V765" s="275"/>
      <c r="W765" s="275"/>
      <c r="X765" s="275"/>
      <c r="Y765" s="275"/>
      <c r="Z765" s="275"/>
    </row>
    <row r="766" ht="10.5" customHeight="1">
      <c r="A766" s="275"/>
      <c r="B766" s="275"/>
      <c r="C766" s="275"/>
      <c r="D766" s="275"/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5"/>
      <c r="P766" s="275"/>
      <c r="Q766" s="275"/>
      <c r="R766" s="275"/>
      <c r="S766" s="275"/>
      <c r="T766" s="275"/>
      <c r="U766" s="275"/>
      <c r="V766" s="275"/>
      <c r="W766" s="275"/>
      <c r="X766" s="275"/>
      <c r="Y766" s="275"/>
      <c r="Z766" s="275"/>
    </row>
    <row r="767" ht="10.5" customHeight="1">
      <c r="A767" s="275"/>
      <c r="B767" s="275"/>
      <c r="C767" s="275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</row>
    <row r="768" ht="10.5" customHeight="1">
      <c r="A768" s="275"/>
      <c r="B768" s="275"/>
      <c r="C768" s="275"/>
      <c r="D768" s="275"/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5"/>
      <c r="P768" s="275"/>
      <c r="Q768" s="275"/>
      <c r="R768" s="275"/>
      <c r="S768" s="275"/>
      <c r="T768" s="275"/>
      <c r="U768" s="275"/>
      <c r="V768" s="275"/>
      <c r="W768" s="275"/>
      <c r="X768" s="275"/>
      <c r="Y768" s="275"/>
      <c r="Z768" s="275"/>
    </row>
    <row r="769" ht="10.5" customHeight="1">
      <c r="A769" s="275"/>
      <c r="B769" s="275"/>
      <c r="C769" s="275"/>
      <c r="D769" s="275"/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5"/>
      <c r="P769" s="275"/>
      <c r="Q769" s="275"/>
      <c r="R769" s="275"/>
      <c r="S769" s="275"/>
      <c r="T769" s="275"/>
      <c r="U769" s="275"/>
      <c r="V769" s="275"/>
      <c r="W769" s="275"/>
      <c r="X769" s="275"/>
      <c r="Y769" s="275"/>
      <c r="Z769" s="275"/>
    </row>
    <row r="770" ht="10.5" customHeight="1">
      <c r="A770" s="275"/>
      <c r="B770" s="275"/>
      <c r="C770" s="275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</row>
    <row r="771" ht="10.5" customHeight="1">
      <c r="A771" s="275"/>
      <c r="B771" s="275"/>
      <c r="C771" s="275"/>
      <c r="D771" s="275"/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5"/>
      <c r="P771" s="275"/>
      <c r="Q771" s="275"/>
      <c r="R771" s="275"/>
      <c r="S771" s="275"/>
      <c r="T771" s="275"/>
      <c r="U771" s="275"/>
      <c r="V771" s="275"/>
      <c r="W771" s="275"/>
      <c r="X771" s="275"/>
      <c r="Y771" s="275"/>
      <c r="Z771" s="275"/>
    </row>
    <row r="772" ht="10.5" customHeight="1">
      <c r="A772" s="275"/>
      <c r="B772" s="275"/>
      <c r="C772" s="275"/>
      <c r="D772" s="275"/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5"/>
      <c r="P772" s="275"/>
      <c r="Q772" s="275"/>
      <c r="R772" s="275"/>
      <c r="S772" s="275"/>
      <c r="T772" s="275"/>
      <c r="U772" s="275"/>
      <c r="V772" s="275"/>
      <c r="W772" s="275"/>
      <c r="X772" s="275"/>
      <c r="Y772" s="275"/>
      <c r="Z772" s="275"/>
    </row>
    <row r="773" ht="10.5" customHeight="1">
      <c r="A773" s="275"/>
      <c r="B773" s="275"/>
      <c r="C773" s="275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</row>
    <row r="774" ht="10.5" customHeight="1">
      <c r="A774" s="275"/>
      <c r="B774" s="275"/>
      <c r="C774" s="275"/>
      <c r="D774" s="275"/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5"/>
      <c r="P774" s="275"/>
      <c r="Q774" s="275"/>
      <c r="R774" s="275"/>
      <c r="S774" s="275"/>
      <c r="T774" s="275"/>
      <c r="U774" s="275"/>
      <c r="V774" s="275"/>
      <c r="W774" s="275"/>
      <c r="X774" s="275"/>
      <c r="Y774" s="275"/>
      <c r="Z774" s="275"/>
    </row>
    <row r="775" ht="10.5" customHeight="1">
      <c r="A775" s="275"/>
      <c r="B775" s="275"/>
      <c r="C775" s="275"/>
      <c r="D775" s="275"/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5"/>
      <c r="P775" s="275"/>
      <c r="Q775" s="275"/>
      <c r="R775" s="275"/>
      <c r="S775" s="275"/>
      <c r="T775" s="275"/>
      <c r="U775" s="275"/>
      <c r="V775" s="275"/>
      <c r="W775" s="275"/>
      <c r="X775" s="275"/>
      <c r="Y775" s="275"/>
      <c r="Z775" s="275"/>
    </row>
    <row r="776" ht="10.5" customHeight="1">
      <c r="A776" s="275"/>
      <c r="B776" s="275"/>
      <c r="C776" s="275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</row>
    <row r="777" ht="10.5" customHeight="1">
      <c r="A777" s="275"/>
      <c r="B777" s="275"/>
      <c r="C777" s="275"/>
      <c r="D777" s="275"/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5"/>
      <c r="P777" s="275"/>
      <c r="Q777" s="275"/>
      <c r="R777" s="275"/>
      <c r="S777" s="275"/>
      <c r="T777" s="275"/>
      <c r="U777" s="275"/>
      <c r="V777" s="275"/>
      <c r="W777" s="275"/>
      <c r="X777" s="275"/>
      <c r="Y777" s="275"/>
      <c r="Z777" s="275"/>
    </row>
    <row r="778" ht="10.5" customHeight="1">
      <c r="A778" s="275"/>
      <c r="B778" s="275"/>
      <c r="C778" s="275"/>
      <c r="D778" s="275"/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5"/>
      <c r="P778" s="275"/>
      <c r="Q778" s="275"/>
      <c r="R778" s="275"/>
      <c r="S778" s="275"/>
      <c r="T778" s="275"/>
      <c r="U778" s="275"/>
      <c r="V778" s="275"/>
      <c r="W778" s="275"/>
      <c r="X778" s="275"/>
      <c r="Y778" s="275"/>
      <c r="Z778" s="275"/>
    </row>
    <row r="779" ht="10.5" customHeight="1">
      <c r="A779" s="275"/>
      <c r="B779" s="275"/>
      <c r="C779" s="275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</row>
    <row r="780" ht="10.5" customHeight="1">
      <c r="A780" s="275"/>
      <c r="B780" s="275"/>
      <c r="C780" s="275"/>
      <c r="D780" s="275"/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5"/>
      <c r="P780" s="275"/>
      <c r="Q780" s="275"/>
      <c r="R780" s="275"/>
      <c r="S780" s="275"/>
      <c r="T780" s="275"/>
      <c r="U780" s="275"/>
      <c r="V780" s="275"/>
      <c r="W780" s="275"/>
      <c r="X780" s="275"/>
      <c r="Y780" s="275"/>
      <c r="Z780" s="275"/>
    </row>
    <row r="781" ht="10.5" customHeight="1">
      <c r="A781" s="275"/>
      <c r="B781" s="275"/>
      <c r="C781" s="275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  <c r="Y781" s="275"/>
      <c r="Z781" s="275"/>
    </row>
    <row r="782" ht="10.5" customHeight="1">
      <c r="A782" s="275"/>
      <c r="B782" s="275"/>
      <c r="C782" s="275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</row>
    <row r="783" ht="10.5" customHeight="1">
      <c r="A783" s="275"/>
      <c r="B783" s="275"/>
      <c r="C783" s="275"/>
      <c r="D783" s="275"/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5"/>
      <c r="P783" s="275"/>
      <c r="Q783" s="275"/>
      <c r="R783" s="275"/>
      <c r="S783" s="275"/>
      <c r="T783" s="275"/>
      <c r="U783" s="275"/>
      <c r="V783" s="275"/>
      <c r="W783" s="275"/>
      <c r="X783" s="275"/>
      <c r="Y783" s="275"/>
      <c r="Z783" s="275"/>
    </row>
    <row r="784" ht="10.5" customHeight="1">
      <c r="A784" s="275"/>
      <c r="B784" s="275"/>
      <c r="C784" s="275"/>
      <c r="D784" s="275"/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5"/>
      <c r="P784" s="275"/>
      <c r="Q784" s="275"/>
      <c r="R784" s="275"/>
      <c r="S784" s="275"/>
      <c r="T784" s="275"/>
      <c r="U784" s="275"/>
      <c r="V784" s="275"/>
      <c r="W784" s="275"/>
      <c r="X784" s="275"/>
      <c r="Y784" s="275"/>
      <c r="Z784" s="275"/>
    </row>
    <row r="785" ht="10.5" customHeight="1">
      <c r="A785" s="275"/>
      <c r="B785" s="275"/>
      <c r="C785" s="275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</row>
    <row r="786" ht="10.5" customHeight="1">
      <c r="A786" s="275"/>
      <c r="B786" s="275"/>
      <c r="C786" s="275"/>
      <c r="D786" s="275"/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5"/>
      <c r="P786" s="275"/>
      <c r="Q786" s="275"/>
      <c r="R786" s="275"/>
      <c r="S786" s="275"/>
      <c r="T786" s="275"/>
      <c r="U786" s="275"/>
      <c r="V786" s="275"/>
      <c r="W786" s="275"/>
      <c r="X786" s="275"/>
      <c r="Y786" s="275"/>
      <c r="Z786" s="275"/>
    </row>
    <row r="787" ht="10.5" customHeight="1">
      <c r="A787" s="275"/>
      <c r="B787" s="275"/>
      <c r="C787" s="275"/>
      <c r="D787" s="275"/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5"/>
      <c r="P787" s="275"/>
      <c r="Q787" s="275"/>
      <c r="R787" s="275"/>
      <c r="S787" s="275"/>
      <c r="T787" s="275"/>
      <c r="U787" s="275"/>
      <c r="V787" s="275"/>
      <c r="W787" s="275"/>
      <c r="X787" s="275"/>
      <c r="Y787" s="275"/>
      <c r="Z787" s="275"/>
    </row>
    <row r="788" ht="10.5" customHeight="1">
      <c r="A788" s="275"/>
      <c r="B788" s="275"/>
      <c r="C788" s="275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</row>
    <row r="789" ht="10.5" customHeight="1">
      <c r="A789" s="275"/>
      <c r="B789" s="275"/>
      <c r="C789" s="275"/>
      <c r="D789" s="275"/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5"/>
      <c r="P789" s="275"/>
      <c r="Q789" s="275"/>
      <c r="R789" s="275"/>
      <c r="S789" s="275"/>
      <c r="T789" s="275"/>
      <c r="U789" s="275"/>
      <c r="V789" s="275"/>
      <c r="W789" s="275"/>
      <c r="X789" s="275"/>
      <c r="Y789" s="275"/>
      <c r="Z789" s="275"/>
    </row>
    <row r="790" ht="10.5" customHeight="1">
      <c r="A790" s="275"/>
      <c r="B790" s="275"/>
      <c r="C790" s="275"/>
      <c r="D790" s="275"/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  <c r="S790" s="275"/>
      <c r="T790" s="275"/>
      <c r="U790" s="275"/>
      <c r="V790" s="275"/>
      <c r="W790" s="275"/>
      <c r="X790" s="275"/>
      <c r="Y790" s="275"/>
      <c r="Z790" s="275"/>
    </row>
    <row r="791" ht="10.5" customHeight="1">
      <c r="A791" s="275"/>
      <c r="B791" s="275"/>
      <c r="C791" s="275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</row>
    <row r="792" ht="10.5" customHeight="1">
      <c r="A792" s="275"/>
      <c r="B792" s="275"/>
      <c r="C792" s="275"/>
      <c r="D792" s="275"/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5"/>
      <c r="P792" s="275"/>
      <c r="Q792" s="275"/>
      <c r="R792" s="275"/>
      <c r="S792" s="275"/>
      <c r="T792" s="275"/>
      <c r="U792" s="275"/>
      <c r="V792" s="275"/>
      <c r="W792" s="275"/>
      <c r="X792" s="275"/>
      <c r="Y792" s="275"/>
      <c r="Z792" s="275"/>
    </row>
    <row r="793" ht="10.5" customHeight="1">
      <c r="A793" s="275"/>
      <c r="B793" s="275"/>
      <c r="C793" s="275"/>
      <c r="D793" s="275"/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5"/>
      <c r="P793" s="275"/>
      <c r="Q793" s="275"/>
      <c r="R793" s="275"/>
      <c r="S793" s="275"/>
      <c r="T793" s="275"/>
      <c r="U793" s="275"/>
      <c r="V793" s="275"/>
      <c r="W793" s="275"/>
      <c r="X793" s="275"/>
      <c r="Y793" s="275"/>
      <c r="Z793" s="275"/>
    </row>
    <row r="794" ht="10.5" customHeight="1">
      <c r="A794" s="275"/>
      <c r="B794" s="275"/>
      <c r="C794" s="275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</row>
    <row r="795" ht="10.5" customHeight="1">
      <c r="A795" s="275"/>
      <c r="B795" s="275"/>
      <c r="C795" s="275"/>
      <c r="D795" s="275"/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5"/>
      <c r="P795" s="275"/>
      <c r="Q795" s="275"/>
      <c r="R795" s="275"/>
      <c r="S795" s="275"/>
      <c r="T795" s="275"/>
      <c r="U795" s="275"/>
      <c r="V795" s="275"/>
      <c r="W795" s="275"/>
      <c r="X795" s="275"/>
      <c r="Y795" s="275"/>
      <c r="Z795" s="275"/>
    </row>
    <row r="796" ht="10.5" customHeight="1">
      <c r="A796" s="275"/>
      <c r="B796" s="275"/>
      <c r="C796" s="275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5"/>
      <c r="P796" s="275"/>
      <c r="Q796" s="275"/>
      <c r="R796" s="275"/>
      <c r="S796" s="275"/>
      <c r="T796" s="275"/>
      <c r="U796" s="275"/>
      <c r="V796" s="275"/>
      <c r="W796" s="275"/>
      <c r="X796" s="275"/>
      <c r="Y796" s="275"/>
      <c r="Z796" s="275"/>
    </row>
    <row r="797" ht="10.5" customHeight="1">
      <c r="A797" s="275"/>
      <c r="B797" s="275"/>
      <c r="C797" s="275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5"/>
    </row>
    <row r="798" ht="10.5" customHeight="1">
      <c r="A798" s="275"/>
      <c r="B798" s="275"/>
      <c r="C798" s="275"/>
      <c r="D798" s="275"/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5"/>
      <c r="P798" s="275"/>
      <c r="Q798" s="275"/>
      <c r="R798" s="275"/>
      <c r="S798" s="275"/>
      <c r="T798" s="275"/>
      <c r="U798" s="275"/>
      <c r="V798" s="275"/>
      <c r="W798" s="275"/>
      <c r="X798" s="275"/>
      <c r="Y798" s="275"/>
      <c r="Z798" s="275"/>
    </row>
    <row r="799" ht="10.5" customHeight="1">
      <c r="A799" s="275"/>
      <c r="B799" s="275"/>
      <c r="C799" s="275"/>
      <c r="D799" s="275"/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5"/>
      <c r="P799" s="275"/>
      <c r="Q799" s="275"/>
      <c r="R799" s="275"/>
      <c r="S799" s="275"/>
      <c r="T799" s="275"/>
      <c r="U799" s="275"/>
      <c r="V799" s="275"/>
      <c r="W799" s="275"/>
      <c r="X799" s="275"/>
      <c r="Y799" s="275"/>
      <c r="Z799" s="275"/>
    </row>
    <row r="800" ht="10.5" customHeight="1">
      <c r="A800" s="275"/>
      <c r="B800" s="275"/>
      <c r="C800" s="275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5"/>
    </row>
    <row r="801" ht="10.5" customHeight="1">
      <c r="A801" s="275"/>
      <c r="B801" s="275"/>
      <c r="C801" s="275"/>
      <c r="D801" s="275"/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5"/>
      <c r="P801" s="275"/>
      <c r="Q801" s="275"/>
      <c r="R801" s="275"/>
      <c r="S801" s="275"/>
      <c r="T801" s="275"/>
      <c r="U801" s="275"/>
      <c r="V801" s="275"/>
      <c r="W801" s="275"/>
      <c r="X801" s="275"/>
      <c r="Y801" s="275"/>
      <c r="Z801" s="275"/>
    </row>
    <row r="802" ht="10.5" customHeight="1">
      <c r="A802" s="275"/>
      <c r="B802" s="275"/>
      <c r="C802" s="275"/>
      <c r="D802" s="275"/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5"/>
      <c r="P802" s="275"/>
      <c r="Q802" s="275"/>
      <c r="R802" s="275"/>
      <c r="S802" s="275"/>
      <c r="T802" s="275"/>
      <c r="U802" s="275"/>
      <c r="V802" s="275"/>
      <c r="W802" s="275"/>
      <c r="X802" s="275"/>
      <c r="Y802" s="275"/>
      <c r="Z802" s="275"/>
    </row>
    <row r="803" ht="10.5" customHeight="1">
      <c r="A803" s="275"/>
      <c r="B803" s="275"/>
      <c r="C803" s="275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5"/>
    </row>
    <row r="804" ht="10.5" customHeight="1">
      <c r="A804" s="275"/>
      <c r="B804" s="275"/>
      <c r="C804" s="275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5"/>
      <c r="P804" s="275"/>
      <c r="Q804" s="275"/>
      <c r="R804" s="275"/>
      <c r="S804" s="275"/>
      <c r="T804" s="275"/>
      <c r="U804" s="275"/>
      <c r="V804" s="275"/>
      <c r="W804" s="275"/>
      <c r="X804" s="275"/>
      <c r="Y804" s="275"/>
      <c r="Z804" s="275"/>
    </row>
    <row r="805" ht="10.5" customHeight="1">
      <c r="A805" s="275"/>
      <c r="B805" s="275"/>
      <c r="C805" s="275"/>
      <c r="D805" s="275"/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5"/>
      <c r="P805" s="275"/>
      <c r="Q805" s="275"/>
      <c r="R805" s="275"/>
      <c r="S805" s="275"/>
      <c r="T805" s="275"/>
      <c r="U805" s="275"/>
      <c r="V805" s="275"/>
      <c r="W805" s="275"/>
      <c r="X805" s="275"/>
      <c r="Y805" s="275"/>
      <c r="Z805" s="275"/>
    </row>
    <row r="806" ht="10.5" customHeight="1">
      <c r="A806" s="275"/>
      <c r="B806" s="275"/>
      <c r="C806" s="275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5"/>
    </row>
    <row r="807" ht="10.5" customHeight="1">
      <c r="A807" s="275"/>
      <c r="B807" s="275"/>
      <c r="C807" s="275"/>
      <c r="D807" s="275"/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5"/>
      <c r="P807" s="275"/>
      <c r="Q807" s="275"/>
      <c r="R807" s="275"/>
      <c r="S807" s="275"/>
      <c r="T807" s="275"/>
      <c r="U807" s="275"/>
      <c r="V807" s="275"/>
      <c r="W807" s="275"/>
      <c r="X807" s="275"/>
      <c r="Y807" s="275"/>
      <c r="Z807" s="275"/>
    </row>
    <row r="808" ht="10.5" customHeight="1">
      <c r="A808" s="275"/>
      <c r="B808" s="275"/>
      <c r="C808" s="275"/>
      <c r="D808" s="275"/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5"/>
      <c r="P808" s="275"/>
      <c r="Q808" s="275"/>
      <c r="R808" s="275"/>
      <c r="S808" s="275"/>
      <c r="T808" s="275"/>
      <c r="U808" s="275"/>
      <c r="V808" s="275"/>
      <c r="W808" s="275"/>
      <c r="X808" s="275"/>
      <c r="Y808" s="275"/>
      <c r="Z808" s="275"/>
    </row>
    <row r="809" ht="10.5" customHeight="1">
      <c r="A809" s="275"/>
      <c r="B809" s="275"/>
      <c r="C809" s="275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</row>
    <row r="810" ht="10.5" customHeight="1">
      <c r="A810" s="275"/>
      <c r="B810" s="275"/>
      <c r="C810" s="275"/>
      <c r="D810" s="275"/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5"/>
      <c r="P810" s="275"/>
      <c r="Q810" s="275"/>
      <c r="R810" s="275"/>
      <c r="S810" s="275"/>
      <c r="T810" s="275"/>
      <c r="U810" s="275"/>
      <c r="V810" s="275"/>
      <c r="W810" s="275"/>
      <c r="X810" s="275"/>
      <c r="Y810" s="275"/>
      <c r="Z810" s="275"/>
    </row>
    <row r="811" ht="10.5" customHeight="1">
      <c r="A811" s="275"/>
      <c r="B811" s="275"/>
      <c r="C811" s="275"/>
      <c r="D811" s="275"/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5"/>
      <c r="P811" s="275"/>
      <c r="Q811" s="275"/>
      <c r="R811" s="275"/>
      <c r="S811" s="275"/>
      <c r="T811" s="275"/>
      <c r="U811" s="275"/>
      <c r="V811" s="275"/>
      <c r="W811" s="275"/>
      <c r="X811" s="275"/>
      <c r="Y811" s="275"/>
      <c r="Z811" s="275"/>
    </row>
    <row r="812" ht="10.5" customHeight="1">
      <c r="A812" s="275"/>
      <c r="B812" s="275"/>
      <c r="C812" s="275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5"/>
    </row>
    <row r="813" ht="10.5" customHeight="1">
      <c r="A813" s="275"/>
      <c r="B813" s="275"/>
      <c r="C813" s="275"/>
      <c r="D813" s="275"/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5"/>
      <c r="P813" s="275"/>
      <c r="Q813" s="275"/>
      <c r="R813" s="275"/>
      <c r="S813" s="275"/>
      <c r="T813" s="275"/>
      <c r="U813" s="275"/>
      <c r="V813" s="275"/>
      <c r="W813" s="275"/>
      <c r="X813" s="275"/>
      <c r="Y813" s="275"/>
      <c r="Z813" s="275"/>
    </row>
    <row r="814" ht="10.5" customHeight="1">
      <c r="A814" s="275"/>
      <c r="B814" s="275"/>
      <c r="C814" s="275"/>
      <c r="D814" s="275"/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5"/>
      <c r="P814" s="275"/>
      <c r="Q814" s="275"/>
      <c r="R814" s="275"/>
      <c r="S814" s="275"/>
      <c r="T814" s="275"/>
      <c r="U814" s="275"/>
      <c r="V814" s="275"/>
      <c r="W814" s="275"/>
      <c r="X814" s="275"/>
      <c r="Y814" s="275"/>
      <c r="Z814" s="275"/>
    </row>
    <row r="815" ht="10.5" customHeight="1">
      <c r="A815" s="275"/>
      <c r="B815" s="275"/>
      <c r="C815" s="275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5"/>
    </row>
    <row r="816" ht="10.5" customHeight="1">
      <c r="A816" s="275"/>
      <c r="B816" s="275"/>
      <c r="C816" s="275"/>
      <c r="D816" s="275"/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5"/>
      <c r="P816" s="275"/>
      <c r="Q816" s="275"/>
      <c r="R816" s="275"/>
      <c r="S816" s="275"/>
      <c r="T816" s="275"/>
      <c r="U816" s="275"/>
      <c r="V816" s="275"/>
      <c r="W816" s="275"/>
      <c r="X816" s="275"/>
      <c r="Y816" s="275"/>
      <c r="Z816" s="275"/>
    </row>
    <row r="817" ht="10.5" customHeight="1">
      <c r="A817" s="275"/>
      <c r="B817" s="275"/>
      <c r="C817" s="275"/>
      <c r="D817" s="275"/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5"/>
      <c r="P817" s="275"/>
      <c r="Q817" s="275"/>
      <c r="R817" s="275"/>
      <c r="S817" s="275"/>
      <c r="T817" s="275"/>
      <c r="U817" s="275"/>
      <c r="V817" s="275"/>
      <c r="W817" s="275"/>
      <c r="X817" s="275"/>
      <c r="Y817" s="275"/>
      <c r="Z817" s="275"/>
    </row>
    <row r="818" ht="10.5" customHeight="1">
      <c r="A818" s="275"/>
      <c r="B818" s="275"/>
      <c r="C818" s="275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5"/>
    </row>
    <row r="819" ht="10.5" customHeight="1">
      <c r="A819" s="275"/>
      <c r="B819" s="275"/>
      <c r="C819" s="275"/>
      <c r="D819" s="275"/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5"/>
      <c r="P819" s="275"/>
      <c r="Q819" s="275"/>
      <c r="R819" s="275"/>
      <c r="S819" s="275"/>
      <c r="T819" s="275"/>
      <c r="U819" s="275"/>
      <c r="V819" s="275"/>
      <c r="W819" s="275"/>
      <c r="X819" s="275"/>
      <c r="Y819" s="275"/>
      <c r="Z819" s="275"/>
    </row>
    <row r="820" ht="10.5" customHeight="1">
      <c r="A820" s="275"/>
      <c r="B820" s="275"/>
      <c r="C820" s="275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5"/>
      <c r="P820" s="275"/>
      <c r="Q820" s="275"/>
      <c r="R820" s="275"/>
      <c r="S820" s="275"/>
      <c r="T820" s="275"/>
      <c r="U820" s="275"/>
      <c r="V820" s="275"/>
      <c r="W820" s="275"/>
      <c r="X820" s="275"/>
      <c r="Y820" s="275"/>
      <c r="Z820" s="275"/>
    </row>
    <row r="821" ht="10.5" customHeight="1">
      <c r="A821" s="275"/>
      <c r="B821" s="275"/>
      <c r="C821" s="275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5"/>
    </row>
    <row r="822" ht="10.5" customHeight="1">
      <c r="A822" s="275"/>
      <c r="B822" s="275"/>
      <c r="C822" s="275"/>
      <c r="D822" s="275"/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5"/>
      <c r="P822" s="275"/>
      <c r="Q822" s="275"/>
      <c r="R822" s="275"/>
      <c r="S822" s="275"/>
      <c r="T822" s="275"/>
      <c r="U822" s="275"/>
      <c r="V822" s="275"/>
      <c r="W822" s="275"/>
      <c r="X822" s="275"/>
      <c r="Y822" s="275"/>
      <c r="Z822" s="275"/>
    </row>
    <row r="823" ht="10.5" customHeight="1">
      <c r="A823" s="275"/>
      <c r="B823" s="275"/>
      <c r="C823" s="275"/>
      <c r="D823" s="275"/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5"/>
      <c r="P823" s="275"/>
      <c r="Q823" s="275"/>
      <c r="R823" s="275"/>
      <c r="S823" s="275"/>
      <c r="T823" s="275"/>
      <c r="U823" s="275"/>
      <c r="V823" s="275"/>
      <c r="W823" s="275"/>
      <c r="X823" s="275"/>
      <c r="Y823" s="275"/>
      <c r="Z823" s="275"/>
    </row>
    <row r="824" ht="10.5" customHeight="1">
      <c r="A824" s="275"/>
      <c r="B824" s="275"/>
      <c r="C824" s="275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5"/>
    </row>
    <row r="825" ht="10.5" customHeight="1">
      <c r="A825" s="275"/>
      <c r="B825" s="275"/>
      <c r="C825" s="275"/>
      <c r="D825" s="275"/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5"/>
      <c r="P825" s="275"/>
      <c r="Q825" s="275"/>
      <c r="R825" s="275"/>
      <c r="S825" s="275"/>
      <c r="T825" s="275"/>
      <c r="U825" s="275"/>
      <c r="V825" s="275"/>
      <c r="W825" s="275"/>
      <c r="X825" s="275"/>
      <c r="Y825" s="275"/>
      <c r="Z825" s="275"/>
    </row>
    <row r="826" ht="10.5" customHeight="1">
      <c r="A826" s="275"/>
      <c r="B826" s="275"/>
      <c r="C826" s="275"/>
      <c r="D826" s="275"/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5"/>
      <c r="P826" s="275"/>
      <c r="Q826" s="275"/>
      <c r="R826" s="275"/>
      <c r="S826" s="275"/>
      <c r="T826" s="275"/>
      <c r="U826" s="275"/>
      <c r="V826" s="275"/>
      <c r="W826" s="275"/>
      <c r="X826" s="275"/>
      <c r="Y826" s="275"/>
      <c r="Z826" s="275"/>
    </row>
    <row r="827" ht="10.5" customHeight="1">
      <c r="A827" s="275"/>
      <c r="B827" s="275"/>
      <c r="C827" s="275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5"/>
    </row>
    <row r="828" ht="10.5" customHeight="1">
      <c r="A828" s="275"/>
      <c r="B828" s="275"/>
      <c r="C828" s="275"/>
      <c r="D828" s="275"/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5"/>
      <c r="P828" s="275"/>
      <c r="Q828" s="275"/>
      <c r="R828" s="275"/>
      <c r="S828" s="275"/>
      <c r="T828" s="275"/>
      <c r="U828" s="275"/>
      <c r="V828" s="275"/>
      <c r="W828" s="275"/>
      <c r="X828" s="275"/>
      <c r="Y828" s="275"/>
      <c r="Z828" s="275"/>
    </row>
    <row r="829" ht="10.5" customHeight="1">
      <c r="A829" s="275"/>
      <c r="B829" s="275"/>
      <c r="C829" s="275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5"/>
      <c r="P829" s="275"/>
      <c r="Q829" s="275"/>
      <c r="R829" s="275"/>
      <c r="S829" s="275"/>
      <c r="T829" s="275"/>
      <c r="U829" s="275"/>
      <c r="V829" s="275"/>
      <c r="W829" s="275"/>
      <c r="X829" s="275"/>
      <c r="Y829" s="275"/>
      <c r="Z829" s="275"/>
    </row>
    <row r="830" ht="10.5" customHeight="1">
      <c r="A830" s="275"/>
      <c r="B830" s="275"/>
      <c r="C830" s="275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5"/>
    </row>
    <row r="831" ht="10.5" customHeight="1">
      <c r="A831" s="275"/>
      <c r="B831" s="275"/>
      <c r="C831" s="275"/>
      <c r="D831" s="275"/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5"/>
      <c r="P831" s="275"/>
      <c r="Q831" s="275"/>
      <c r="R831" s="275"/>
      <c r="S831" s="275"/>
      <c r="T831" s="275"/>
      <c r="U831" s="275"/>
      <c r="V831" s="275"/>
      <c r="W831" s="275"/>
      <c r="X831" s="275"/>
      <c r="Y831" s="275"/>
      <c r="Z831" s="275"/>
    </row>
    <row r="832" ht="10.5" customHeight="1">
      <c r="A832" s="275"/>
      <c r="B832" s="275"/>
      <c r="C832" s="275"/>
      <c r="D832" s="275"/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5"/>
      <c r="P832" s="275"/>
      <c r="Q832" s="275"/>
      <c r="R832" s="275"/>
      <c r="S832" s="275"/>
      <c r="T832" s="275"/>
      <c r="U832" s="275"/>
      <c r="V832" s="275"/>
      <c r="W832" s="275"/>
      <c r="X832" s="275"/>
      <c r="Y832" s="275"/>
      <c r="Z832" s="275"/>
    </row>
    <row r="833" ht="10.5" customHeight="1">
      <c r="A833" s="275"/>
      <c r="B833" s="275"/>
      <c r="C833" s="275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5"/>
    </row>
    <row r="834" ht="10.5" customHeight="1">
      <c r="A834" s="275"/>
      <c r="B834" s="275"/>
      <c r="C834" s="275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5"/>
      <c r="P834" s="275"/>
      <c r="Q834" s="275"/>
      <c r="R834" s="275"/>
      <c r="S834" s="275"/>
      <c r="T834" s="275"/>
      <c r="U834" s="275"/>
      <c r="V834" s="275"/>
      <c r="W834" s="275"/>
      <c r="X834" s="275"/>
      <c r="Y834" s="275"/>
      <c r="Z834" s="275"/>
    </row>
    <row r="835" ht="10.5" customHeight="1">
      <c r="A835" s="275"/>
      <c r="B835" s="275"/>
      <c r="C835" s="275"/>
      <c r="D835" s="275"/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5"/>
      <c r="P835" s="275"/>
      <c r="Q835" s="275"/>
      <c r="R835" s="275"/>
      <c r="S835" s="275"/>
      <c r="T835" s="275"/>
      <c r="U835" s="275"/>
      <c r="V835" s="275"/>
      <c r="W835" s="275"/>
      <c r="X835" s="275"/>
      <c r="Y835" s="275"/>
      <c r="Z835" s="275"/>
    </row>
    <row r="836" ht="10.5" customHeight="1">
      <c r="A836" s="275"/>
      <c r="B836" s="275"/>
      <c r="C836" s="275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5"/>
    </row>
    <row r="837" ht="10.5" customHeight="1">
      <c r="A837" s="275"/>
      <c r="B837" s="275"/>
      <c r="C837" s="275"/>
      <c r="D837" s="275"/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5"/>
      <c r="P837" s="275"/>
      <c r="Q837" s="275"/>
      <c r="R837" s="275"/>
      <c r="S837" s="275"/>
      <c r="T837" s="275"/>
      <c r="U837" s="275"/>
      <c r="V837" s="275"/>
      <c r="W837" s="275"/>
      <c r="X837" s="275"/>
      <c r="Y837" s="275"/>
      <c r="Z837" s="275"/>
    </row>
    <row r="838" ht="10.5" customHeight="1">
      <c r="A838" s="275"/>
      <c r="B838" s="275"/>
      <c r="C838" s="275"/>
      <c r="D838" s="275"/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5"/>
      <c r="P838" s="275"/>
      <c r="Q838" s="275"/>
      <c r="R838" s="275"/>
      <c r="S838" s="275"/>
      <c r="T838" s="275"/>
      <c r="U838" s="275"/>
      <c r="V838" s="275"/>
      <c r="W838" s="275"/>
      <c r="X838" s="275"/>
      <c r="Y838" s="275"/>
      <c r="Z838" s="275"/>
    </row>
    <row r="839" ht="10.5" customHeight="1">
      <c r="A839" s="275"/>
      <c r="B839" s="275"/>
      <c r="C839" s="275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5"/>
    </row>
    <row r="840" ht="10.5" customHeight="1">
      <c r="A840" s="275"/>
      <c r="B840" s="275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5"/>
    </row>
    <row r="841" ht="10.5" customHeight="1">
      <c r="A841" s="275"/>
      <c r="B841" s="275"/>
      <c r="C841" s="275"/>
      <c r="D841" s="275"/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5"/>
      <c r="P841" s="275"/>
      <c r="Q841" s="275"/>
      <c r="R841" s="275"/>
      <c r="S841" s="275"/>
      <c r="T841" s="275"/>
      <c r="U841" s="275"/>
      <c r="V841" s="275"/>
      <c r="W841" s="275"/>
      <c r="X841" s="275"/>
      <c r="Y841" s="275"/>
      <c r="Z841" s="275"/>
    </row>
    <row r="842" ht="10.5" customHeight="1">
      <c r="A842" s="275"/>
      <c r="B842" s="275"/>
      <c r="C842" s="275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5"/>
    </row>
    <row r="843" ht="10.5" customHeight="1">
      <c r="A843" s="275"/>
      <c r="B843" s="275"/>
      <c r="C843" s="275"/>
      <c r="D843" s="275"/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5"/>
      <c r="P843" s="275"/>
      <c r="Q843" s="275"/>
      <c r="R843" s="275"/>
      <c r="S843" s="275"/>
      <c r="T843" s="275"/>
      <c r="U843" s="275"/>
      <c r="V843" s="275"/>
      <c r="W843" s="275"/>
      <c r="X843" s="275"/>
      <c r="Y843" s="275"/>
      <c r="Z843" s="275"/>
    </row>
    <row r="844" ht="10.5" customHeight="1">
      <c r="A844" s="275"/>
      <c r="B844" s="275"/>
      <c r="C844" s="275"/>
      <c r="D844" s="275"/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5"/>
      <c r="P844" s="275"/>
      <c r="Q844" s="275"/>
      <c r="R844" s="275"/>
      <c r="S844" s="275"/>
      <c r="T844" s="275"/>
      <c r="U844" s="275"/>
      <c r="V844" s="275"/>
      <c r="W844" s="275"/>
      <c r="X844" s="275"/>
      <c r="Y844" s="275"/>
      <c r="Z844" s="275"/>
    </row>
    <row r="845" ht="10.5" customHeight="1">
      <c r="A845" s="275"/>
      <c r="B845" s="275"/>
      <c r="C845" s="275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5"/>
    </row>
    <row r="846" ht="10.5" customHeight="1">
      <c r="A846" s="275"/>
      <c r="B846" s="275"/>
      <c r="C846" s="275"/>
      <c r="D846" s="275"/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5"/>
      <c r="P846" s="275"/>
      <c r="Q846" s="275"/>
      <c r="R846" s="275"/>
      <c r="S846" s="275"/>
      <c r="T846" s="275"/>
      <c r="U846" s="275"/>
      <c r="V846" s="275"/>
      <c r="W846" s="275"/>
      <c r="X846" s="275"/>
      <c r="Y846" s="275"/>
      <c r="Z846" s="275"/>
    </row>
    <row r="847" ht="10.5" customHeight="1">
      <c r="A847" s="275"/>
      <c r="B847" s="275"/>
      <c r="C847" s="275"/>
      <c r="D847" s="275"/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5"/>
      <c r="P847" s="275"/>
      <c r="Q847" s="275"/>
      <c r="R847" s="275"/>
      <c r="S847" s="275"/>
      <c r="T847" s="275"/>
      <c r="U847" s="275"/>
      <c r="V847" s="275"/>
      <c r="W847" s="275"/>
      <c r="X847" s="275"/>
      <c r="Y847" s="275"/>
      <c r="Z847" s="275"/>
    </row>
    <row r="848" ht="10.5" customHeight="1">
      <c r="A848" s="275"/>
      <c r="B848" s="275"/>
      <c r="C848" s="275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5"/>
    </row>
    <row r="849" ht="10.5" customHeight="1">
      <c r="A849" s="275"/>
      <c r="B849" s="275"/>
      <c r="C849" s="275"/>
      <c r="D849" s="275"/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5"/>
      <c r="P849" s="275"/>
      <c r="Q849" s="275"/>
      <c r="R849" s="275"/>
      <c r="S849" s="275"/>
      <c r="T849" s="275"/>
      <c r="U849" s="275"/>
      <c r="V849" s="275"/>
      <c r="W849" s="275"/>
      <c r="X849" s="275"/>
      <c r="Y849" s="275"/>
      <c r="Z849" s="275"/>
    </row>
    <row r="850" ht="10.5" customHeight="1">
      <c r="A850" s="275"/>
      <c r="B850" s="275"/>
      <c r="C850" s="275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5"/>
      <c r="P850" s="275"/>
      <c r="Q850" s="275"/>
      <c r="R850" s="275"/>
      <c r="S850" s="275"/>
      <c r="T850" s="275"/>
      <c r="U850" s="275"/>
      <c r="V850" s="275"/>
      <c r="W850" s="275"/>
      <c r="X850" s="275"/>
      <c r="Y850" s="275"/>
      <c r="Z850" s="275"/>
    </row>
    <row r="851" ht="10.5" customHeight="1">
      <c r="A851" s="275"/>
      <c r="B851" s="275"/>
      <c r="C851" s="275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5"/>
    </row>
    <row r="852" ht="10.5" customHeight="1">
      <c r="A852" s="275"/>
      <c r="B852" s="275"/>
      <c r="C852" s="275"/>
      <c r="D852" s="275"/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5"/>
      <c r="P852" s="275"/>
      <c r="Q852" s="275"/>
      <c r="R852" s="275"/>
      <c r="S852" s="275"/>
      <c r="T852" s="275"/>
      <c r="U852" s="275"/>
      <c r="V852" s="275"/>
      <c r="W852" s="275"/>
      <c r="X852" s="275"/>
      <c r="Y852" s="275"/>
      <c r="Z852" s="275"/>
    </row>
    <row r="853" ht="10.5" customHeight="1">
      <c r="A853" s="275"/>
      <c r="B853" s="275"/>
      <c r="C853" s="275"/>
      <c r="D853" s="275"/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5"/>
      <c r="P853" s="275"/>
      <c r="Q853" s="275"/>
      <c r="R853" s="275"/>
      <c r="S853" s="275"/>
      <c r="T853" s="275"/>
      <c r="U853" s="275"/>
      <c r="V853" s="275"/>
      <c r="W853" s="275"/>
      <c r="X853" s="275"/>
      <c r="Y853" s="275"/>
      <c r="Z853" s="275"/>
    </row>
    <row r="854" ht="10.5" customHeight="1">
      <c r="A854" s="275"/>
      <c r="B854" s="275"/>
      <c r="C854" s="275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5"/>
    </row>
    <row r="855" ht="10.5" customHeight="1">
      <c r="A855" s="275"/>
      <c r="B855" s="275"/>
      <c r="C855" s="275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5"/>
      <c r="P855" s="275"/>
      <c r="Q855" s="275"/>
      <c r="R855" s="275"/>
      <c r="S855" s="275"/>
      <c r="T855" s="275"/>
      <c r="U855" s="275"/>
      <c r="V855" s="275"/>
      <c r="W855" s="275"/>
      <c r="X855" s="275"/>
      <c r="Y855" s="275"/>
      <c r="Z855" s="275"/>
    </row>
    <row r="856" ht="10.5" customHeight="1">
      <c r="A856" s="275"/>
      <c r="B856" s="275"/>
      <c r="C856" s="275"/>
      <c r="D856" s="275"/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5"/>
      <c r="P856" s="275"/>
      <c r="Q856" s="275"/>
      <c r="R856" s="275"/>
      <c r="S856" s="275"/>
      <c r="T856" s="275"/>
      <c r="U856" s="275"/>
      <c r="V856" s="275"/>
      <c r="W856" s="275"/>
      <c r="X856" s="275"/>
      <c r="Y856" s="275"/>
      <c r="Z856" s="275"/>
    </row>
    <row r="857" ht="10.5" customHeight="1">
      <c r="A857" s="275"/>
      <c r="B857" s="275"/>
      <c r="C857" s="275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5"/>
    </row>
    <row r="858" ht="10.5" customHeight="1">
      <c r="A858" s="275"/>
      <c r="B858" s="275"/>
      <c r="C858" s="275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5"/>
      <c r="P858" s="275"/>
      <c r="Q858" s="275"/>
      <c r="R858" s="275"/>
      <c r="S858" s="275"/>
      <c r="T858" s="275"/>
      <c r="U858" s="275"/>
      <c r="V858" s="275"/>
      <c r="W858" s="275"/>
      <c r="X858" s="275"/>
      <c r="Y858" s="275"/>
      <c r="Z858" s="275"/>
    </row>
    <row r="859" ht="10.5" customHeight="1">
      <c r="A859" s="275"/>
      <c r="B859" s="275"/>
      <c r="C859" s="275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5"/>
      <c r="P859" s="275"/>
      <c r="Q859" s="275"/>
      <c r="R859" s="275"/>
      <c r="S859" s="275"/>
      <c r="T859" s="275"/>
      <c r="U859" s="275"/>
      <c r="V859" s="275"/>
      <c r="W859" s="275"/>
      <c r="X859" s="275"/>
      <c r="Y859" s="275"/>
      <c r="Z859" s="275"/>
    </row>
    <row r="860" ht="10.5" customHeight="1">
      <c r="A860" s="275"/>
      <c r="B860" s="275"/>
      <c r="C860" s="275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5"/>
    </row>
    <row r="861" ht="10.5" customHeight="1">
      <c r="A861" s="275"/>
      <c r="B861" s="275"/>
      <c r="C861" s="275"/>
      <c r="D861" s="275"/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5"/>
      <c r="P861" s="275"/>
      <c r="Q861" s="275"/>
      <c r="R861" s="275"/>
      <c r="S861" s="275"/>
      <c r="T861" s="275"/>
      <c r="U861" s="275"/>
      <c r="V861" s="275"/>
      <c r="W861" s="275"/>
      <c r="X861" s="275"/>
      <c r="Y861" s="275"/>
      <c r="Z861" s="275"/>
    </row>
    <row r="862" ht="10.5" customHeight="1">
      <c r="A862" s="275"/>
      <c r="B862" s="275"/>
      <c r="C862" s="275"/>
      <c r="D862" s="275"/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5"/>
      <c r="P862" s="275"/>
      <c r="Q862" s="275"/>
      <c r="R862" s="275"/>
      <c r="S862" s="275"/>
      <c r="T862" s="275"/>
      <c r="U862" s="275"/>
      <c r="V862" s="275"/>
      <c r="W862" s="275"/>
      <c r="X862" s="275"/>
      <c r="Y862" s="275"/>
      <c r="Z862" s="275"/>
    </row>
    <row r="863" ht="10.5" customHeight="1">
      <c r="A863" s="275"/>
      <c r="B863" s="275"/>
      <c r="C863" s="275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5"/>
    </row>
    <row r="864" ht="10.5" customHeight="1">
      <c r="A864" s="275"/>
      <c r="B864" s="275"/>
      <c r="C864" s="275"/>
      <c r="D864" s="275"/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5"/>
      <c r="P864" s="275"/>
      <c r="Q864" s="275"/>
      <c r="R864" s="275"/>
      <c r="S864" s="275"/>
      <c r="T864" s="275"/>
      <c r="U864" s="275"/>
      <c r="V864" s="275"/>
      <c r="W864" s="275"/>
      <c r="X864" s="275"/>
      <c r="Y864" s="275"/>
      <c r="Z864" s="275"/>
    </row>
    <row r="865" ht="10.5" customHeight="1">
      <c r="A865" s="275"/>
      <c r="B865" s="275"/>
      <c r="C865" s="275"/>
      <c r="D865" s="275"/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5"/>
      <c r="P865" s="275"/>
      <c r="Q865" s="275"/>
      <c r="R865" s="275"/>
      <c r="S865" s="275"/>
      <c r="T865" s="275"/>
      <c r="U865" s="275"/>
      <c r="V865" s="275"/>
      <c r="W865" s="275"/>
      <c r="X865" s="275"/>
      <c r="Y865" s="275"/>
      <c r="Z865" s="275"/>
    </row>
    <row r="866" ht="10.5" customHeight="1">
      <c r="A866" s="275"/>
      <c r="B866" s="275"/>
      <c r="C866" s="275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5"/>
    </row>
    <row r="867" ht="10.5" customHeight="1">
      <c r="A867" s="275"/>
      <c r="B867" s="275"/>
      <c r="C867" s="275"/>
      <c r="D867" s="275"/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5"/>
      <c r="P867" s="275"/>
      <c r="Q867" s="275"/>
      <c r="R867" s="275"/>
      <c r="S867" s="275"/>
      <c r="T867" s="275"/>
      <c r="U867" s="275"/>
      <c r="V867" s="275"/>
      <c r="W867" s="275"/>
      <c r="X867" s="275"/>
      <c r="Y867" s="275"/>
      <c r="Z867" s="275"/>
    </row>
    <row r="868" ht="10.5" customHeight="1">
      <c r="A868" s="275"/>
      <c r="B868" s="275"/>
      <c r="C868" s="275"/>
      <c r="D868" s="275"/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5"/>
      <c r="P868" s="275"/>
      <c r="Q868" s="275"/>
      <c r="R868" s="275"/>
      <c r="S868" s="275"/>
      <c r="T868" s="275"/>
      <c r="U868" s="275"/>
      <c r="V868" s="275"/>
      <c r="W868" s="275"/>
      <c r="X868" s="275"/>
      <c r="Y868" s="275"/>
      <c r="Z868" s="275"/>
    </row>
    <row r="869" ht="10.5" customHeight="1">
      <c r="A869" s="275"/>
      <c r="B869" s="275"/>
      <c r="C869" s="275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5"/>
    </row>
    <row r="870" ht="10.5" customHeight="1">
      <c r="A870" s="275"/>
      <c r="B870" s="275"/>
      <c r="C870" s="275"/>
      <c r="D870" s="275"/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5"/>
      <c r="P870" s="275"/>
      <c r="Q870" s="275"/>
      <c r="R870" s="275"/>
      <c r="S870" s="275"/>
      <c r="T870" s="275"/>
      <c r="U870" s="275"/>
      <c r="V870" s="275"/>
      <c r="W870" s="275"/>
      <c r="X870" s="275"/>
      <c r="Y870" s="275"/>
      <c r="Z870" s="275"/>
    </row>
    <row r="871" ht="10.5" customHeight="1">
      <c r="A871" s="275"/>
      <c r="B871" s="275"/>
      <c r="C871" s="275"/>
      <c r="D871" s="275"/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5"/>
      <c r="P871" s="275"/>
      <c r="Q871" s="275"/>
      <c r="R871" s="275"/>
      <c r="S871" s="275"/>
      <c r="T871" s="275"/>
      <c r="U871" s="275"/>
      <c r="V871" s="275"/>
      <c r="W871" s="275"/>
      <c r="X871" s="275"/>
      <c r="Y871" s="275"/>
      <c r="Z871" s="275"/>
    </row>
    <row r="872" ht="10.5" customHeight="1">
      <c r="A872" s="275"/>
      <c r="B872" s="275"/>
      <c r="C872" s="275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5"/>
    </row>
    <row r="873" ht="10.5" customHeight="1">
      <c r="A873" s="275"/>
      <c r="B873" s="275"/>
      <c r="C873" s="275"/>
      <c r="D873" s="275"/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5"/>
      <c r="P873" s="275"/>
      <c r="Q873" s="275"/>
      <c r="R873" s="275"/>
      <c r="S873" s="275"/>
      <c r="T873" s="275"/>
      <c r="U873" s="275"/>
      <c r="V873" s="275"/>
      <c r="W873" s="275"/>
      <c r="X873" s="275"/>
      <c r="Y873" s="275"/>
      <c r="Z873" s="275"/>
    </row>
    <row r="874" ht="10.5" customHeight="1">
      <c r="A874" s="275"/>
      <c r="B874" s="275"/>
      <c r="C874" s="275"/>
      <c r="D874" s="275"/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5"/>
      <c r="P874" s="275"/>
      <c r="Q874" s="275"/>
      <c r="R874" s="275"/>
      <c r="S874" s="275"/>
      <c r="T874" s="275"/>
      <c r="U874" s="275"/>
      <c r="V874" s="275"/>
      <c r="W874" s="275"/>
      <c r="X874" s="275"/>
      <c r="Y874" s="275"/>
      <c r="Z874" s="275"/>
    </row>
    <row r="875" ht="10.5" customHeight="1">
      <c r="A875" s="275"/>
      <c r="B875" s="275"/>
      <c r="C875" s="275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5"/>
    </row>
    <row r="876" ht="10.5" customHeight="1">
      <c r="A876" s="275"/>
      <c r="B876" s="275"/>
      <c r="C876" s="275"/>
      <c r="D876" s="275"/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5"/>
      <c r="P876" s="275"/>
      <c r="Q876" s="275"/>
      <c r="R876" s="275"/>
      <c r="S876" s="275"/>
      <c r="T876" s="275"/>
      <c r="U876" s="275"/>
      <c r="V876" s="275"/>
      <c r="W876" s="275"/>
      <c r="X876" s="275"/>
      <c r="Y876" s="275"/>
      <c r="Z876" s="275"/>
    </row>
    <row r="877" ht="10.5" customHeight="1">
      <c r="A877" s="275"/>
      <c r="B877" s="275"/>
      <c r="C877" s="275"/>
      <c r="D877" s="275"/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5"/>
      <c r="P877" s="275"/>
      <c r="Q877" s="275"/>
      <c r="R877" s="275"/>
      <c r="S877" s="275"/>
      <c r="T877" s="275"/>
      <c r="U877" s="275"/>
      <c r="V877" s="275"/>
      <c r="W877" s="275"/>
      <c r="X877" s="275"/>
      <c r="Y877" s="275"/>
      <c r="Z877" s="275"/>
    </row>
    <row r="878" ht="10.5" customHeight="1">
      <c r="A878" s="275"/>
      <c r="B878" s="275"/>
      <c r="C878" s="275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5"/>
    </row>
    <row r="879" ht="10.5" customHeight="1">
      <c r="A879" s="275"/>
      <c r="B879" s="275"/>
      <c r="C879" s="275"/>
      <c r="D879" s="275"/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5"/>
      <c r="P879" s="275"/>
      <c r="Q879" s="275"/>
      <c r="R879" s="275"/>
      <c r="S879" s="275"/>
      <c r="T879" s="275"/>
      <c r="U879" s="275"/>
      <c r="V879" s="275"/>
      <c r="W879" s="275"/>
      <c r="X879" s="275"/>
      <c r="Y879" s="275"/>
      <c r="Z879" s="275"/>
    </row>
    <row r="880" ht="10.5" customHeight="1">
      <c r="A880" s="275"/>
      <c r="B880" s="275"/>
      <c r="C880" s="275"/>
      <c r="D880" s="275"/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5"/>
      <c r="P880" s="275"/>
      <c r="Q880" s="275"/>
      <c r="R880" s="275"/>
      <c r="S880" s="275"/>
      <c r="T880" s="275"/>
      <c r="U880" s="275"/>
      <c r="V880" s="275"/>
      <c r="W880" s="275"/>
      <c r="X880" s="275"/>
      <c r="Y880" s="275"/>
      <c r="Z880" s="275"/>
    </row>
    <row r="881" ht="10.5" customHeight="1">
      <c r="A881" s="275"/>
      <c r="B881" s="275"/>
      <c r="C881" s="275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5"/>
    </row>
    <row r="882" ht="10.5" customHeight="1">
      <c r="A882" s="275"/>
      <c r="B882" s="275"/>
      <c r="C882" s="275"/>
      <c r="D882" s="275"/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5"/>
      <c r="P882" s="275"/>
      <c r="Q882" s="275"/>
      <c r="R882" s="275"/>
      <c r="S882" s="275"/>
      <c r="T882" s="275"/>
      <c r="U882" s="275"/>
      <c r="V882" s="275"/>
      <c r="W882" s="275"/>
      <c r="X882" s="275"/>
      <c r="Y882" s="275"/>
      <c r="Z882" s="275"/>
    </row>
    <row r="883" ht="10.5" customHeight="1">
      <c r="A883" s="275"/>
      <c r="B883" s="275"/>
      <c r="C883" s="275"/>
      <c r="D883" s="275"/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5"/>
      <c r="P883" s="275"/>
      <c r="Q883" s="275"/>
      <c r="R883" s="275"/>
      <c r="S883" s="275"/>
      <c r="T883" s="275"/>
      <c r="U883" s="275"/>
      <c r="V883" s="275"/>
      <c r="W883" s="275"/>
      <c r="X883" s="275"/>
      <c r="Y883" s="275"/>
      <c r="Z883" s="275"/>
    </row>
    <row r="884" ht="10.5" customHeight="1">
      <c r="A884" s="275"/>
      <c r="B884" s="275"/>
      <c r="C884" s="275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5"/>
    </row>
    <row r="885" ht="10.5" customHeight="1">
      <c r="A885" s="275"/>
      <c r="B885" s="275"/>
      <c r="C885" s="275"/>
      <c r="D885" s="275"/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5"/>
      <c r="P885" s="275"/>
      <c r="Q885" s="275"/>
      <c r="R885" s="275"/>
      <c r="S885" s="275"/>
      <c r="T885" s="275"/>
      <c r="U885" s="275"/>
      <c r="V885" s="275"/>
      <c r="W885" s="275"/>
      <c r="X885" s="275"/>
      <c r="Y885" s="275"/>
      <c r="Z885" s="275"/>
    </row>
    <row r="886" ht="10.5" customHeight="1">
      <c r="A886" s="275"/>
      <c r="B886" s="275"/>
      <c r="C886" s="275"/>
      <c r="D886" s="275"/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5"/>
      <c r="P886" s="275"/>
      <c r="Q886" s="275"/>
      <c r="R886" s="275"/>
      <c r="S886" s="275"/>
      <c r="T886" s="275"/>
      <c r="U886" s="275"/>
      <c r="V886" s="275"/>
      <c r="W886" s="275"/>
      <c r="X886" s="275"/>
      <c r="Y886" s="275"/>
      <c r="Z886" s="275"/>
    </row>
    <row r="887" ht="10.5" customHeight="1">
      <c r="A887" s="275"/>
      <c r="B887" s="275"/>
      <c r="C887" s="275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5"/>
    </row>
    <row r="888" ht="10.5" customHeight="1">
      <c r="A888" s="275"/>
      <c r="B888" s="275"/>
      <c r="C888" s="275"/>
      <c r="D888" s="275"/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5"/>
      <c r="P888" s="275"/>
      <c r="Q888" s="275"/>
      <c r="R888" s="275"/>
      <c r="S888" s="275"/>
      <c r="T888" s="275"/>
      <c r="U888" s="275"/>
      <c r="V888" s="275"/>
      <c r="W888" s="275"/>
      <c r="X888" s="275"/>
      <c r="Y888" s="275"/>
      <c r="Z888" s="275"/>
    </row>
    <row r="889" ht="10.5" customHeight="1">
      <c r="A889" s="275"/>
      <c r="B889" s="275"/>
      <c r="C889" s="275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5"/>
      <c r="P889" s="275"/>
      <c r="Q889" s="275"/>
      <c r="R889" s="275"/>
      <c r="S889" s="275"/>
      <c r="T889" s="275"/>
      <c r="U889" s="275"/>
      <c r="V889" s="275"/>
      <c r="W889" s="275"/>
      <c r="X889" s="275"/>
      <c r="Y889" s="275"/>
      <c r="Z889" s="275"/>
    </row>
    <row r="890" ht="10.5" customHeight="1">
      <c r="A890" s="275"/>
      <c r="B890" s="275"/>
      <c r="C890" s="275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5"/>
    </row>
    <row r="891" ht="10.5" customHeight="1">
      <c r="A891" s="275"/>
      <c r="B891" s="275"/>
      <c r="C891" s="275"/>
      <c r="D891" s="275"/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5"/>
      <c r="P891" s="275"/>
      <c r="Q891" s="275"/>
      <c r="R891" s="275"/>
      <c r="S891" s="275"/>
      <c r="T891" s="275"/>
      <c r="U891" s="275"/>
      <c r="V891" s="275"/>
      <c r="W891" s="275"/>
      <c r="X891" s="275"/>
      <c r="Y891" s="275"/>
      <c r="Z891" s="275"/>
    </row>
    <row r="892" ht="10.5" customHeight="1">
      <c r="A892" s="275"/>
      <c r="B892" s="275"/>
      <c r="C892" s="275"/>
      <c r="D892" s="275"/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5"/>
      <c r="P892" s="275"/>
      <c r="Q892" s="275"/>
      <c r="R892" s="275"/>
      <c r="S892" s="275"/>
      <c r="T892" s="275"/>
      <c r="U892" s="275"/>
      <c r="V892" s="275"/>
      <c r="W892" s="275"/>
      <c r="X892" s="275"/>
      <c r="Y892" s="275"/>
      <c r="Z892" s="275"/>
    </row>
    <row r="893" ht="10.5" customHeight="1">
      <c r="A893" s="275"/>
      <c r="B893" s="275"/>
      <c r="C893" s="275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5"/>
    </row>
    <row r="894" ht="10.5" customHeight="1">
      <c r="A894" s="275"/>
      <c r="B894" s="275"/>
      <c r="C894" s="275"/>
      <c r="D894" s="275"/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5"/>
      <c r="P894" s="275"/>
      <c r="Q894" s="275"/>
      <c r="R894" s="275"/>
      <c r="S894" s="275"/>
      <c r="T894" s="275"/>
      <c r="U894" s="275"/>
      <c r="V894" s="275"/>
      <c r="W894" s="275"/>
      <c r="X894" s="275"/>
      <c r="Y894" s="275"/>
      <c r="Z894" s="275"/>
    </row>
    <row r="895" ht="10.5" customHeight="1">
      <c r="A895" s="275"/>
      <c r="B895" s="275"/>
      <c r="C895" s="275"/>
      <c r="D895" s="275"/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5"/>
      <c r="P895" s="275"/>
      <c r="Q895" s="275"/>
      <c r="R895" s="275"/>
      <c r="S895" s="275"/>
      <c r="T895" s="275"/>
      <c r="U895" s="275"/>
      <c r="V895" s="275"/>
      <c r="W895" s="275"/>
      <c r="X895" s="275"/>
      <c r="Y895" s="275"/>
      <c r="Z895" s="275"/>
    </row>
    <row r="896" ht="10.5" customHeight="1">
      <c r="A896" s="275"/>
      <c r="B896" s="275"/>
      <c r="C896" s="275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5"/>
    </row>
    <row r="897" ht="10.5" customHeight="1">
      <c r="A897" s="275"/>
      <c r="B897" s="275"/>
      <c r="C897" s="275"/>
      <c r="D897" s="275"/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5"/>
      <c r="P897" s="275"/>
      <c r="Q897" s="275"/>
      <c r="R897" s="275"/>
      <c r="S897" s="275"/>
      <c r="T897" s="275"/>
      <c r="U897" s="275"/>
      <c r="V897" s="275"/>
      <c r="W897" s="275"/>
      <c r="X897" s="275"/>
      <c r="Y897" s="275"/>
      <c r="Z897" s="275"/>
    </row>
    <row r="898" ht="10.5" customHeight="1">
      <c r="A898" s="275"/>
      <c r="B898" s="275"/>
      <c r="C898" s="275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5"/>
      <c r="P898" s="275"/>
      <c r="Q898" s="275"/>
      <c r="R898" s="275"/>
      <c r="S898" s="275"/>
      <c r="T898" s="275"/>
      <c r="U898" s="275"/>
      <c r="V898" s="275"/>
      <c r="W898" s="275"/>
      <c r="X898" s="275"/>
      <c r="Y898" s="275"/>
      <c r="Z898" s="275"/>
    </row>
    <row r="899" ht="10.5" customHeight="1">
      <c r="A899" s="275"/>
      <c r="B899" s="275"/>
      <c r="C899" s="275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5"/>
    </row>
    <row r="900" ht="10.5" customHeight="1">
      <c r="A900" s="275"/>
      <c r="B900" s="275"/>
      <c r="C900" s="275"/>
      <c r="D900" s="275"/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5"/>
      <c r="P900" s="275"/>
      <c r="Q900" s="275"/>
      <c r="R900" s="275"/>
      <c r="S900" s="275"/>
      <c r="T900" s="275"/>
      <c r="U900" s="275"/>
      <c r="V900" s="275"/>
      <c r="W900" s="275"/>
      <c r="X900" s="275"/>
      <c r="Y900" s="275"/>
      <c r="Z900" s="275"/>
    </row>
    <row r="901" ht="10.5" customHeight="1">
      <c r="A901" s="275"/>
      <c r="B901" s="275"/>
      <c r="C901" s="275"/>
      <c r="D901" s="275"/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5"/>
      <c r="P901" s="275"/>
      <c r="Q901" s="275"/>
      <c r="R901" s="275"/>
      <c r="S901" s="275"/>
      <c r="T901" s="275"/>
      <c r="U901" s="275"/>
      <c r="V901" s="275"/>
      <c r="W901" s="275"/>
      <c r="X901" s="275"/>
      <c r="Y901" s="275"/>
      <c r="Z901" s="275"/>
    </row>
    <row r="902" ht="10.5" customHeight="1">
      <c r="A902" s="275"/>
      <c r="B902" s="275"/>
      <c r="C902" s="275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5"/>
    </row>
    <row r="903" ht="10.5" customHeight="1">
      <c r="A903" s="275"/>
      <c r="B903" s="275"/>
      <c r="C903" s="275"/>
      <c r="D903" s="275"/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5"/>
      <c r="P903" s="275"/>
      <c r="Q903" s="275"/>
      <c r="R903" s="275"/>
      <c r="S903" s="275"/>
      <c r="T903" s="275"/>
      <c r="U903" s="275"/>
      <c r="V903" s="275"/>
      <c r="W903" s="275"/>
      <c r="X903" s="275"/>
      <c r="Y903" s="275"/>
      <c r="Z903" s="275"/>
    </row>
    <row r="904" ht="10.5" customHeight="1">
      <c r="A904" s="275"/>
      <c r="B904" s="275"/>
      <c r="C904" s="275"/>
      <c r="D904" s="275"/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5"/>
      <c r="P904" s="275"/>
      <c r="Q904" s="275"/>
      <c r="R904" s="275"/>
      <c r="S904" s="275"/>
      <c r="T904" s="275"/>
      <c r="U904" s="275"/>
      <c r="V904" s="275"/>
      <c r="W904" s="275"/>
      <c r="X904" s="275"/>
      <c r="Y904" s="275"/>
      <c r="Z904" s="275"/>
    </row>
    <row r="905" ht="10.5" customHeight="1">
      <c r="A905" s="275"/>
      <c r="B905" s="275"/>
      <c r="C905" s="275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5"/>
    </row>
    <row r="906" ht="10.5" customHeight="1">
      <c r="A906" s="275"/>
      <c r="B906" s="275"/>
      <c r="C906" s="275"/>
      <c r="D906" s="275"/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5"/>
      <c r="P906" s="275"/>
      <c r="Q906" s="275"/>
      <c r="R906" s="275"/>
      <c r="S906" s="275"/>
      <c r="T906" s="275"/>
      <c r="U906" s="275"/>
      <c r="V906" s="275"/>
      <c r="W906" s="275"/>
      <c r="X906" s="275"/>
      <c r="Y906" s="275"/>
      <c r="Z906" s="275"/>
    </row>
    <row r="907" ht="10.5" customHeight="1">
      <c r="A907" s="275"/>
      <c r="B907" s="275"/>
      <c r="C907" s="275"/>
      <c r="D907" s="275"/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5"/>
      <c r="P907" s="275"/>
      <c r="Q907" s="275"/>
      <c r="R907" s="275"/>
      <c r="S907" s="275"/>
      <c r="T907" s="275"/>
      <c r="U907" s="275"/>
      <c r="V907" s="275"/>
      <c r="W907" s="275"/>
      <c r="X907" s="275"/>
      <c r="Y907" s="275"/>
      <c r="Z907" s="275"/>
    </row>
    <row r="908" ht="10.5" customHeight="1">
      <c r="A908" s="275"/>
      <c r="B908" s="275"/>
      <c r="C908" s="275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5"/>
    </row>
    <row r="909" ht="10.5" customHeight="1">
      <c r="A909" s="275"/>
      <c r="B909" s="275"/>
      <c r="C909" s="275"/>
      <c r="D909" s="275"/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5"/>
      <c r="P909" s="275"/>
      <c r="Q909" s="275"/>
      <c r="R909" s="275"/>
      <c r="S909" s="275"/>
      <c r="T909" s="275"/>
      <c r="U909" s="275"/>
      <c r="V909" s="275"/>
      <c r="W909" s="275"/>
      <c r="X909" s="275"/>
      <c r="Y909" s="275"/>
      <c r="Z909" s="275"/>
    </row>
    <row r="910" ht="10.5" customHeight="1">
      <c r="A910" s="275"/>
      <c r="B910" s="275"/>
      <c r="C910" s="275"/>
      <c r="D910" s="275"/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5"/>
      <c r="P910" s="275"/>
      <c r="Q910" s="275"/>
      <c r="R910" s="275"/>
      <c r="S910" s="275"/>
      <c r="T910" s="275"/>
      <c r="U910" s="275"/>
      <c r="V910" s="275"/>
      <c r="W910" s="275"/>
      <c r="X910" s="275"/>
      <c r="Y910" s="275"/>
      <c r="Z910" s="275"/>
    </row>
    <row r="911" ht="10.5" customHeight="1">
      <c r="A911" s="275"/>
      <c r="B911" s="275"/>
      <c r="C911" s="275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5"/>
    </row>
    <row r="912" ht="10.5" customHeight="1">
      <c r="A912" s="275"/>
      <c r="B912" s="275"/>
      <c r="C912" s="275"/>
      <c r="D912" s="275"/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5"/>
      <c r="P912" s="275"/>
      <c r="Q912" s="275"/>
      <c r="R912" s="275"/>
      <c r="S912" s="275"/>
      <c r="T912" s="275"/>
      <c r="U912" s="275"/>
      <c r="V912" s="275"/>
      <c r="W912" s="275"/>
      <c r="X912" s="275"/>
      <c r="Y912" s="275"/>
      <c r="Z912" s="275"/>
    </row>
    <row r="913" ht="10.5" customHeight="1">
      <c r="A913" s="275"/>
      <c r="B913" s="275"/>
      <c r="C913" s="275"/>
      <c r="D913" s="275"/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5"/>
      <c r="P913" s="275"/>
      <c r="Q913" s="275"/>
      <c r="R913" s="275"/>
      <c r="S913" s="275"/>
      <c r="T913" s="275"/>
      <c r="U913" s="275"/>
      <c r="V913" s="275"/>
      <c r="W913" s="275"/>
      <c r="X913" s="275"/>
      <c r="Y913" s="275"/>
      <c r="Z913" s="275"/>
    </row>
    <row r="914" ht="10.5" customHeight="1">
      <c r="A914" s="275"/>
      <c r="B914" s="275"/>
      <c r="C914" s="275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5"/>
    </row>
    <row r="915" ht="10.5" customHeight="1">
      <c r="A915" s="275"/>
      <c r="B915" s="275"/>
      <c r="C915" s="275"/>
      <c r="D915" s="275"/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5"/>
      <c r="P915" s="275"/>
      <c r="Q915" s="275"/>
      <c r="R915" s="275"/>
      <c r="S915" s="275"/>
      <c r="T915" s="275"/>
      <c r="U915" s="275"/>
      <c r="V915" s="275"/>
      <c r="W915" s="275"/>
      <c r="X915" s="275"/>
      <c r="Y915" s="275"/>
      <c r="Z915" s="275"/>
    </row>
    <row r="916" ht="10.5" customHeight="1">
      <c r="A916" s="275"/>
      <c r="B916" s="275"/>
      <c r="C916" s="275"/>
      <c r="D916" s="275"/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5"/>
      <c r="P916" s="275"/>
      <c r="Q916" s="275"/>
      <c r="R916" s="275"/>
      <c r="S916" s="275"/>
      <c r="T916" s="275"/>
      <c r="U916" s="275"/>
      <c r="V916" s="275"/>
      <c r="W916" s="275"/>
      <c r="X916" s="275"/>
      <c r="Y916" s="275"/>
      <c r="Z916" s="275"/>
    </row>
    <row r="917" ht="10.5" customHeight="1">
      <c r="A917" s="275"/>
      <c r="B917" s="275"/>
      <c r="C917" s="275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5"/>
    </row>
    <row r="918" ht="10.5" customHeight="1">
      <c r="A918" s="275"/>
      <c r="B918" s="275"/>
      <c r="C918" s="275"/>
      <c r="D918" s="275"/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5"/>
      <c r="P918" s="275"/>
      <c r="Q918" s="275"/>
      <c r="R918" s="275"/>
      <c r="S918" s="275"/>
      <c r="T918" s="275"/>
      <c r="U918" s="275"/>
      <c r="V918" s="275"/>
      <c r="W918" s="275"/>
      <c r="X918" s="275"/>
      <c r="Y918" s="275"/>
      <c r="Z918" s="275"/>
    </row>
    <row r="919" ht="10.5" customHeight="1">
      <c r="A919" s="275"/>
      <c r="B919" s="275"/>
      <c r="C919" s="275"/>
      <c r="D919" s="275"/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5"/>
      <c r="P919" s="275"/>
      <c r="Q919" s="275"/>
      <c r="R919" s="275"/>
      <c r="S919" s="275"/>
      <c r="T919" s="275"/>
      <c r="U919" s="275"/>
      <c r="V919" s="275"/>
      <c r="W919" s="275"/>
      <c r="X919" s="275"/>
      <c r="Y919" s="275"/>
      <c r="Z919" s="275"/>
    </row>
    <row r="920" ht="10.5" customHeight="1">
      <c r="A920" s="275"/>
      <c r="B920" s="275"/>
      <c r="C920" s="275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5"/>
    </row>
    <row r="921" ht="10.5" customHeight="1">
      <c r="A921" s="275"/>
      <c r="B921" s="275"/>
      <c r="C921" s="275"/>
      <c r="D921" s="275"/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5"/>
      <c r="P921" s="275"/>
      <c r="Q921" s="275"/>
      <c r="R921" s="275"/>
      <c r="S921" s="275"/>
      <c r="T921" s="275"/>
      <c r="U921" s="275"/>
      <c r="V921" s="275"/>
      <c r="W921" s="275"/>
      <c r="X921" s="275"/>
      <c r="Y921" s="275"/>
      <c r="Z921" s="275"/>
    </row>
    <row r="922" ht="10.5" customHeight="1">
      <c r="A922" s="275"/>
      <c r="B922" s="275"/>
      <c r="C922" s="275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5"/>
      <c r="P922" s="275"/>
      <c r="Q922" s="275"/>
      <c r="R922" s="275"/>
      <c r="S922" s="275"/>
      <c r="T922" s="275"/>
      <c r="U922" s="275"/>
      <c r="V922" s="275"/>
      <c r="W922" s="275"/>
      <c r="X922" s="275"/>
      <c r="Y922" s="275"/>
      <c r="Z922" s="275"/>
    </row>
    <row r="923" ht="10.5" customHeight="1">
      <c r="A923" s="275"/>
      <c r="B923" s="275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5"/>
    </row>
    <row r="924" ht="10.5" customHeight="1">
      <c r="A924" s="275"/>
      <c r="B924" s="275"/>
      <c r="C924" s="275"/>
      <c r="D924" s="275"/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5"/>
      <c r="P924" s="275"/>
      <c r="Q924" s="275"/>
      <c r="R924" s="275"/>
      <c r="S924" s="275"/>
      <c r="T924" s="275"/>
      <c r="U924" s="275"/>
      <c r="V924" s="275"/>
      <c r="W924" s="275"/>
      <c r="X924" s="275"/>
      <c r="Y924" s="275"/>
      <c r="Z924" s="275"/>
    </row>
    <row r="925" ht="10.5" customHeight="1">
      <c r="A925" s="275"/>
      <c r="B925" s="275"/>
      <c r="C925" s="275"/>
      <c r="D925" s="275"/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5"/>
      <c r="P925" s="275"/>
      <c r="Q925" s="275"/>
      <c r="R925" s="275"/>
      <c r="S925" s="275"/>
      <c r="T925" s="275"/>
      <c r="U925" s="275"/>
      <c r="V925" s="275"/>
      <c r="W925" s="275"/>
      <c r="X925" s="275"/>
      <c r="Y925" s="275"/>
      <c r="Z925" s="275"/>
    </row>
    <row r="926" ht="10.5" customHeight="1">
      <c r="A926" s="275"/>
      <c r="B926" s="275"/>
      <c r="C926" s="275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5"/>
    </row>
    <row r="927" ht="10.5" customHeight="1">
      <c r="A927" s="275"/>
      <c r="B927" s="275"/>
      <c r="C927" s="275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5"/>
      <c r="P927" s="275"/>
      <c r="Q927" s="275"/>
      <c r="R927" s="275"/>
      <c r="S927" s="275"/>
      <c r="T927" s="275"/>
      <c r="U927" s="275"/>
      <c r="V927" s="275"/>
      <c r="W927" s="275"/>
      <c r="X927" s="275"/>
      <c r="Y927" s="275"/>
      <c r="Z927" s="275"/>
    </row>
    <row r="928" ht="10.5" customHeight="1">
      <c r="A928" s="275"/>
      <c r="B928" s="275"/>
      <c r="C928" s="275"/>
      <c r="D928" s="275"/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5"/>
      <c r="P928" s="275"/>
      <c r="Q928" s="275"/>
      <c r="R928" s="275"/>
      <c r="S928" s="275"/>
      <c r="T928" s="275"/>
      <c r="U928" s="275"/>
      <c r="V928" s="275"/>
      <c r="W928" s="275"/>
      <c r="X928" s="275"/>
      <c r="Y928" s="275"/>
      <c r="Z928" s="275"/>
    </row>
    <row r="929" ht="10.5" customHeight="1">
      <c r="A929" s="275"/>
      <c r="B929" s="275"/>
      <c r="C929" s="275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5"/>
    </row>
    <row r="930" ht="10.5" customHeight="1">
      <c r="A930" s="275"/>
      <c r="B930" s="275"/>
      <c r="C930" s="275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5"/>
      <c r="P930" s="275"/>
      <c r="Q930" s="275"/>
      <c r="R930" s="275"/>
      <c r="S930" s="275"/>
      <c r="T930" s="275"/>
      <c r="U930" s="275"/>
      <c r="V930" s="275"/>
      <c r="W930" s="275"/>
      <c r="X930" s="275"/>
      <c r="Y930" s="275"/>
      <c r="Z930" s="275"/>
    </row>
    <row r="931" ht="10.5" customHeight="1">
      <c r="A931" s="275"/>
      <c r="B931" s="275"/>
      <c r="C931" s="275"/>
      <c r="D931" s="275"/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5"/>
      <c r="P931" s="275"/>
      <c r="Q931" s="275"/>
      <c r="R931" s="275"/>
      <c r="S931" s="275"/>
      <c r="T931" s="275"/>
      <c r="U931" s="275"/>
      <c r="V931" s="275"/>
      <c r="W931" s="275"/>
      <c r="X931" s="275"/>
      <c r="Y931" s="275"/>
      <c r="Z931" s="275"/>
    </row>
    <row r="932" ht="10.5" customHeight="1">
      <c r="A932" s="275"/>
      <c r="B932" s="275"/>
      <c r="C932" s="275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5"/>
    </row>
    <row r="933" ht="10.5" customHeight="1">
      <c r="A933" s="275"/>
      <c r="B933" s="275"/>
      <c r="C933" s="275"/>
      <c r="D933" s="275"/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5"/>
      <c r="P933" s="275"/>
      <c r="Q933" s="275"/>
      <c r="R933" s="275"/>
      <c r="S933" s="275"/>
      <c r="T933" s="275"/>
      <c r="U933" s="275"/>
      <c r="V933" s="275"/>
      <c r="W933" s="275"/>
      <c r="X933" s="275"/>
      <c r="Y933" s="275"/>
      <c r="Z933" s="275"/>
    </row>
    <row r="934" ht="10.5" customHeight="1">
      <c r="A934" s="275"/>
      <c r="B934" s="275"/>
      <c r="C934" s="275"/>
      <c r="D934" s="275"/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5"/>
      <c r="P934" s="275"/>
      <c r="Q934" s="275"/>
      <c r="R934" s="275"/>
      <c r="S934" s="275"/>
      <c r="T934" s="275"/>
      <c r="U934" s="275"/>
      <c r="V934" s="275"/>
      <c r="W934" s="275"/>
      <c r="X934" s="275"/>
      <c r="Y934" s="275"/>
      <c r="Z934" s="275"/>
    </row>
    <row r="935" ht="10.5" customHeight="1">
      <c r="A935" s="275"/>
      <c r="B935" s="275"/>
      <c r="C935" s="275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5"/>
    </row>
    <row r="936" ht="10.5" customHeight="1">
      <c r="A936" s="275"/>
      <c r="B936" s="275"/>
      <c r="C936" s="275"/>
      <c r="D936" s="275"/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5"/>
      <c r="P936" s="275"/>
      <c r="Q936" s="275"/>
      <c r="R936" s="275"/>
      <c r="S936" s="275"/>
      <c r="T936" s="275"/>
      <c r="U936" s="275"/>
      <c r="V936" s="275"/>
      <c r="W936" s="275"/>
      <c r="X936" s="275"/>
      <c r="Y936" s="275"/>
      <c r="Z936" s="275"/>
    </row>
    <row r="937" ht="10.5" customHeight="1">
      <c r="A937" s="275"/>
      <c r="B937" s="275"/>
      <c r="C937" s="275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5"/>
      <c r="P937" s="275"/>
      <c r="Q937" s="275"/>
      <c r="R937" s="275"/>
      <c r="S937" s="275"/>
      <c r="T937" s="275"/>
      <c r="U937" s="275"/>
      <c r="V937" s="275"/>
      <c r="W937" s="275"/>
      <c r="X937" s="275"/>
      <c r="Y937" s="275"/>
      <c r="Z937" s="275"/>
    </row>
    <row r="938" ht="10.5" customHeight="1">
      <c r="A938" s="275"/>
      <c r="B938" s="275"/>
      <c r="C938" s="275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5"/>
    </row>
    <row r="939" ht="10.5" customHeight="1">
      <c r="A939" s="275"/>
      <c r="B939" s="275"/>
      <c r="C939" s="275"/>
      <c r="D939" s="275"/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5"/>
      <c r="P939" s="275"/>
      <c r="Q939" s="275"/>
      <c r="R939" s="275"/>
      <c r="S939" s="275"/>
      <c r="T939" s="275"/>
      <c r="U939" s="275"/>
      <c r="V939" s="275"/>
      <c r="W939" s="275"/>
      <c r="X939" s="275"/>
      <c r="Y939" s="275"/>
      <c r="Z939" s="275"/>
    </row>
    <row r="940" ht="10.5" customHeight="1">
      <c r="A940" s="275"/>
      <c r="B940" s="275"/>
      <c r="C940" s="275"/>
      <c r="D940" s="275"/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5"/>
      <c r="P940" s="275"/>
      <c r="Q940" s="275"/>
      <c r="R940" s="275"/>
      <c r="S940" s="275"/>
      <c r="T940" s="275"/>
      <c r="U940" s="275"/>
      <c r="V940" s="275"/>
      <c r="W940" s="275"/>
      <c r="X940" s="275"/>
      <c r="Y940" s="275"/>
      <c r="Z940" s="275"/>
    </row>
    <row r="941" ht="10.5" customHeight="1">
      <c r="A941" s="275"/>
      <c r="B941" s="275"/>
      <c r="C941" s="275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5"/>
    </row>
    <row r="942" ht="10.5" customHeight="1">
      <c r="A942" s="275"/>
      <c r="B942" s="275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  <c r="W942" s="275"/>
      <c r="X942" s="275"/>
      <c r="Y942" s="275"/>
      <c r="Z942" s="275"/>
    </row>
    <row r="943" ht="10.5" customHeight="1">
      <c r="A943" s="275"/>
      <c r="B943" s="275"/>
      <c r="C943" s="275"/>
      <c r="D943" s="275"/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5"/>
      <c r="P943" s="275"/>
      <c r="Q943" s="275"/>
      <c r="R943" s="275"/>
      <c r="S943" s="275"/>
      <c r="T943" s="275"/>
      <c r="U943" s="275"/>
      <c r="V943" s="275"/>
      <c r="W943" s="275"/>
      <c r="X943" s="275"/>
      <c r="Y943" s="275"/>
      <c r="Z943" s="275"/>
    </row>
    <row r="944" ht="10.5" customHeight="1">
      <c r="A944" s="275"/>
      <c r="B944" s="275"/>
      <c r="C944" s="275"/>
      <c r="D944" s="275"/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5"/>
      <c r="P944" s="275"/>
      <c r="Q944" s="275"/>
      <c r="R944" s="275"/>
      <c r="S944" s="275"/>
      <c r="T944" s="275"/>
      <c r="U944" s="275"/>
      <c r="V944" s="275"/>
      <c r="W944" s="275"/>
      <c r="X944" s="275"/>
      <c r="Y944" s="275"/>
      <c r="Z944" s="275"/>
    </row>
    <row r="945" ht="10.5" customHeight="1">
      <c r="A945" s="275"/>
      <c r="B945" s="275"/>
      <c r="C945" s="275"/>
      <c r="D945" s="275"/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5"/>
      <c r="P945" s="275"/>
      <c r="Q945" s="275"/>
      <c r="R945" s="275"/>
      <c r="S945" s="275"/>
      <c r="T945" s="275"/>
      <c r="U945" s="275"/>
      <c r="V945" s="275"/>
      <c r="W945" s="275"/>
      <c r="X945" s="275"/>
      <c r="Y945" s="275"/>
      <c r="Z945" s="275"/>
    </row>
    <row r="946" ht="10.5" customHeight="1">
      <c r="A946" s="275"/>
      <c r="B946" s="275"/>
      <c r="C946" s="275"/>
      <c r="D946" s="275"/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5"/>
      <c r="P946" s="275"/>
      <c r="Q946" s="275"/>
      <c r="R946" s="275"/>
      <c r="S946" s="275"/>
      <c r="T946" s="275"/>
      <c r="U946" s="275"/>
      <c r="V946" s="275"/>
      <c r="W946" s="275"/>
      <c r="X946" s="275"/>
      <c r="Y946" s="275"/>
      <c r="Z946" s="275"/>
    </row>
    <row r="947" ht="10.5" customHeight="1">
      <c r="A947" s="275"/>
      <c r="B947" s="275"/>
      <c r="C947" s="275"/>
      <c r="D947" s="275"/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5"/>
      <c r="P947" s="275"/>
      <c r="Q947" s="275"/>
      <c r="R947" s="275"/>
      <c r="S947" s="275"/>
      <c r="T947" s="275"/>
      <c r="U947" s="275"/>
      <c r="V947" s="275"/>
      <c r="W947" s="275"/>
      <c r="X947" s="275"/>
      <c r="Y947" s="275"/>
      <c r="Z947" s="275"/>
    </row>
    <row r="948" ht="10.5" customHeight="1">
      <c r="A948" s="275"/>
      <c r="B948" s="275"/>
      <c r="C948" s="275"/>
      <c r="D948" s="275"/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5"/>
      <c r="P948" s="275"/>
      <c r="Q948" s="275"/>
      <c r="R948" s="275"/>
      <c r="S948" s="275"/>
      <c r="T948" s="275"/>
      <c r="U948" s="275"/>
      <c r="V948" s="275"/>
      <c r="W948" s="275"/>
      <c r="X948" s="275"/>
      <c r="Y948" s="275"/>
      <c r="Z948" s="275"/>
    </row>
    <row r="949" ht="10.5" customHeight="1">
      <c r="A949" s="275"/>
      <c r="B949" s="275"/>
      <c r="C949" s="275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5"/>
      <c r="P949" s="275"/>
      <c r="Q949" s="275"/>
      <c r="R949" s="275"/>
      <c r="S949" s="275"/>
      <c r="T949" s="275"/>
      <c r="U949" s="275"/>
      <c r="V949" s="275"/>
      <c r="W949" s="275"/>
      <c r="X949" s="275"/>
      <c r="Y949" s="275"/>
      <c r="Z949" s="275"/>
    </row>
    <row r="950" ht="10.5" customHeight="1">
      <c r="A950" s="275"/>
      <c r="B950" s="275"/>
      <c r="C950" s="275"/>
      <c r="D950" s="275"/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5"/>
      <c r="P950" s="275"/>
      <c r="Q950" s="275"/>
      <c r="R950" s="275"/>
      <c r="S950" s="275"/>
      <c r="T950" s="275"/>
      <c r="U950" s="275"/>
      <c r="V950" s="275"/>
      <c r="W950" s="275"/>
      <c r="X950" s="275"/>
      <c r="Y950" s="275"/>
      <c r="Z950" s="275"/>
    </row>
    <row r="951" ht="10.5" customHeight="1">
      <c r="A951" s="275"/>
      <c r="B951" s="275"/>
      <c r="C951" s="275"/>
      <c r="D951" s="275"/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5"/>
      <c r="P951" s="275"/>
      <c r="Q951" s="275"/>
      <c r="R951" s="275"/>
      <c r="S951" s="275"/>
      <c r="T951" s="275"/>
      <c r="U951" s="275"/>
      <c r="V951" s="275"/>
      <c r="W951" s="275"/>
      <c r="X951" s="275"/>
      <c r="Y951" s="275"/>
      <c r="Z951" s="275"/>
    </row>
    <row r="952" ht="10.5" customHeight="1">
      <c r="A952" s="275"/>
      <c r="B952" s="275"/>
      <c r="C952" s="275"/>
      <c r="D952" s="275"/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5"/>
      <c r="P952" s="275"/>
      <c r="Q952" s="275"/>
      <c r="R952" s="275"/>
      <c r="S952" s="275"/>
      <c r="T952" s="275"/>
      <c r="U952" s="275"/>
      <c r="V952" s="275"/>
      <c r="W952" s="275"/>
      <c r="X952" s="275"/>
      <c r="Y952" s="275"/>
      <c r="Z952" s="275"/>
    </row>
    <row r="953" ht="10.5" customHeight="1">
      <c r="A953" s="275"/>
      <c r="B953" s="275"/>
      <c r="C953" s="275"/>
      <c r="D953" s="275"/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5"/>
      <c r="P953" s="275"/>
      <c r="Q953" s="275"/>
      <c r="R953" s="275"/>
      <c r="S953" s="275"/>
      <c r="T953" s="275"/>
      <c r="U953" s="275"/>
      <c r="V953" s="275"/>
      <c r="W953" s="275"/>
      <c r="X953" s="275"/>
      <c r="Y953" s="275"/>
      <c r="Z953" s="275"/>
    </row>
    <row r="954" ht="10.5" customHeight="1">
      <c r="A954" s="275"/>
      <c r="B954" s="275"/>
      <c r="C954" s="275"/>
      <c r="D954" s="275"/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5"/>
      <c r="P954" s="275"/>
      <c r="Q954" s="275"/>
      <c r="R954" s="275"/>
      <c r="S954" s="275"/>
      <c r="T954" s="275"/>
      <c r="U954" s="275"/>
      <c r="V954" s="275"/>
      <c r="W954" s="275"/>
      <c r="X954" s="275"/>
      <c r="Y954" s="275"/>
      <c r="Z954" s="275"/>
    </row>
    <row r="955" ht="10.5" customHeight="1">
      <c r="A955" s="275"/>
      <c r="B955" s="275"/>
      <c r="C955" s="275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5"/>
      <c r="P955" s="275"/>
      <c r="Q955" s="275"/>
      <c r="R955" s="275"/>
      <c r="S955" s="275"/>
      <c r="T955" s="275"/>
      <c r="U955" s="275"/>
      <c r="V955" s="275"/>
      <c r="W955" s="275"/>
      <c r="X955" s="275"/>
      <c r="Y955" s="275"/>
      <c r="Z955" s="275"/>
    </row>
    <row r="956" ht="10.5" customHeight="1">
      <c r="A956" s="275"/>
      <c r="B956" s="275"/>
      <c r="C956" s="275"/>
      <c r="D956" s="275"/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5"/>
      <c r="P956" s="275"/>
      <c r="Q956" s="275"/>
      <c r="R956" s="275"/>
      <c r="S956" s="275"/>
      <c r="T956" s="275"/>
      <c r="U956" s="275"/>
      <c r="V956" s="275"/>
      <c r="W956" s="275"/>
      <c r="X956" s="275"/>
      <c r="Y956" s="275"/>
      <c r="Z956" s="275"/>
    </row>
    <row r="957" ht="10.5" customHeight="1">
      <c r="A957" s="275"/>
      <c r="B957" s="275"/>
      <c r="C957" s="275"/>
      <c r="D957" s="275"/>
      <c r="E957" s="275"/>
      <c r="F957" s="275"/>
      <c r="G957" s="275"/>
      <c r="H957" s="275"/>
      <c r="I957" s="275"/>
      <c r="J957" s="275"/>
      <c r="K957" s="275"/>
      <c r="L957" s="275"/>
      <c r="M957" s="275"/>
      <c r="N957" s="275"/>
      <c r="O957" s="275"/>
      <c r="P957" s="275"/>
      <c r="Q957" s="275"/>
      <c r="R957" s="275"/>
      <c r="S957" s="275"/>
      <c r="T957" s="275"/>
      <c r="U957" s="275"/>
      <c r="V957" s="275"/>
      <c r="W957" s="275"/>
      <c r="X957" s="275"/>
      <c r="Y957" s="275"/>
      <c r="Z957" s="275"/>
    </row>
    <row r="958" ht="10.5" customHeight="1">
      <c r="A958" s="275"/>
      <c r="B958" s="275"/>
      <c r="C958" s="275"/>
      <c r="D958" s="275"/>
      <c r="E958" s="275"/>
      <c r="F958" s="275"/>
      <c r="G958" s="275"/>
      <c r="H958" s="275"/>
      <c r="I958" s="275"/>
      <c r="J958" s="275"/>
      <c r="K958" s="275"/>
      <c r="L958" s="275"/>
      <c r="M958" s="275"/>
      <c r="N958" s="275"/>
      <c r="O958" s="275"/>
      <c r="P958" s="275"/>
      <c r="Q958" s="275"/>
      <c r="R958" s="275"/>
      <c r="S958" s="275"/>
      <c r="T958" s="275"/>
      <c r="U958" s="275"/>
      <c r="V958" s="275"/>
      <c r="W958" s="275"/>
      <c r="X958" s="275"/>
      <c r="Y958" s="275"/>
      <c r="Z958" s="275"/>
    </row>
    <row r="959" ht="10.5" customHeight="1">
      <c r="A959" s="275"/>
      <c r="B959" s="275"/>
      <c r="C959" s="275"/>
      <c r="D959" s="275"/>
      <c r="E959" s="275"/>
      <c r="F959" s="275"/>
      <c r="G959" s="275"/>
      <c r="H959" s="275"/>
      <c r="I959" s="275"/>
      <c r="J959" s="275"/>
      <c r="K959" s="275"/>
      <c r="L959" s="275"/>
      <c r="M959" s="275"/>
      <c r="N959" s="275"/>
      <c r="O959" s="275"/>
      <c r="P959" s="275"/>
      <c r="Q959" s="275"/>
      <c r="R959" s="275"/>
      <c r="S959" s="275"/>
      <c r="T959" s="275"/>
      <c r="U959" s="275"/>
      <c r="V959" s="275"/>
      <c r="W959" s="275"/>
      <c r="X959" s="275"/>
      <c r="Y959" s="275"/>
      <c r="Z959" s="275"/>
    </row>
    <row r="960" ht="10.5" customHeight="1">
      <c r="A960" s="275"/>
      <c r="B960" s="275"/>
      <c r="C960" s="275"/>
      <c r="D960" s="275"/>
      <c r="E960" s="275"/>
      <c r="F960" s="275"/>
      <c r="G960" s="275"/>
      <c r="H960" s="275"/>
      <c r="I960" s="275"/>
      <c r="J960" s="275"/>
      <c r="K960" s="275"/>
      <c r="L960" s="275"/>
      <c r="M960" s="275"/>
      <c r="N960" s="275"/>
      <c r="O960" s="275"/>
      <c r="P960" s="275"/>
      <c r="Q960" s="275"/>
      <c r="R960" s="275"/>
      <c r="S960" s="275"/>
      <c r="T960" s="275"/>
      <c r="U960" s="275"/>
      <c r="V960" s="275"/>
      <c r="W960" s="275"/>
      <c r="X960" s="275"/>
      <c r="Y960" s="275"/>
      <c r="Z960" s="275"/>
    </row>
    <row r="961" ht="10.5" customHeight="1">
      <c r="A961" s="275"/>
      <c r="B961" s="275"/>
      <c r="C961" s="275"/>
      <c r="D961" s="275"/>
      <c r="E961" s="275"/>
      <c r="F961" s="275"/>
      <c r="G961" s="275"/>
      <c r="H961" s="275"/>
      <c r="I961" s="275"/>
      <c r="J961" s="275"/>
      <c r="K961" s="275"/>
      <c r="L961" s="275"/>
      <c r="M961" s="275"/>
      <c r="N961" s="275"/>
      <c r="O961" s="275"/>
      <c r="P961" s="275"/>
      <c r="Q961" s="275"/>
      <c r="R961" s="275"/>
      <c r="S961" s="275"/>
      <c r="T961" s="275"/>
      <c r="U961" s="275"/>
      <c r="V961" s="275"/>
      <c r="W961" s="275"/>
      <c r="X961" s="275"/>
      <c r="Y961" s="275"/>
      <c r="Z961" s="275"/>
    </row>
    <row r="962" ht="10.5" customHeight="1">
      <c r="A962" s="275"/>
      <c r="B962" s="275"/>
      <c r="C962" s="275"/>
      <c r="D962" s="275"/>
      <c r="E962" s="275"/>
      <c r="F962" s="275"/>
      <c r="G962" s="275"/>
      <c r="H962" s="275"/>
      <c r="I962" s="275"/>
      <c r="J962" s="275"/>
      <c r="K962" s="275"/>
      <c r="L962" s="275"/>
      <c r="M962" s="275"/>
      <c r="N962" s="275"/>
      <c r="O962" s="275"/>
      <c r="P962" s="275"/>
      <c r="Q962" s="275"/>
      <c r="R962" s="275"/>
      <c r="S962" s="275"/>
      <c r="T962" s="275"/>
      <c r="U962" s="275"/>
      <c r="V962" s="275"/>
      <c r="W962" s="275"/>
      <c r="X962" s="275"/>
      <c r="Y962" s="275"/>
      <c r="Z962" s="275"/>
    </row>
    <row r="963" ht="10.5" customHeight="1">
      <c r="A963" s="275"/>
      <c r="B963" s="275"/>
      <c r="C963" s="275"/>
      <c r="D963" s="275"/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5"/>
      <c r="P963" s="275"/>
      <c r="Q963" s="275"/>
      <c r="R963" s="275"/>
      <c r="S963" s="275"/>
      <c r="T963" s="275"/>
      <c r="U963" s="275"/>
      <c r="V963" s="275"/>
      <c r="W963" s="275"/>
      <c r="X963" s="275"/>
      <c r="Y963" s="275"/>
      <c r="Z963" s="275"/>
    </row>
    <row r="964" ht="10.5" customHeight="1">
      <c r="A964" s="275"/>
      <c r="B964" s="275"/>
      <c r="C964" s="275"/>
      <c r="D964" s="275"/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5"/>
      <c r="P964" s="275"/>
      <c r="Q964" s="275"/>
      <c r="R964" s="275"/>
      <c r="S964" s="275"/>
      <c r="T964" s="275"/>
      <c r="U964" s="275"/>
      <c r="V964" s="275"/>
      <c r="W964" s="275"/>
      <c r="X964" s="275"/>
      <c r="Y964" s="275"/>
      <c r="Z964" s="275"/>
    </row>
    <row r="965" ht="10.5" customHeight="1">
      <c r="A965" s="275"/>
      <c r="B965" s="275"/>
      <c r="C965" s="275"/>
      <c r="D965" s="275"/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5"/>
      <c r="P965" s="275"/>
      <c r="Q965" s="275"/>
      <c r="R965" s="275"/>
      <c r="S965" s="275"/>
      <c r="T965" s="275"/>
      <c r="U965" s="275"/>
      <c r="V965" s="275"/>
      <c r="W965" s="275"/>
      <c r="X965" s="275"/>
      <c r="Y965" s="275"/>
      <c r="Z965" s="275"/>
    </row>
    <row r="966" ht="10.5" customHeight="1">
      <c r="A966" s="275"/>
      <c r="B966" s="275"/>
      <c r="C966" s="275"/>
      <c r="D966" s="275"/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5"/>
      <c r="P966" s="275"/>
      <c r="Q966" s="275"/>
      <c r="R966" s="275"/>
      <c r="S966" s="275"/>
      <c r="T966" s="275"/>
      <c r="U966" s="275"/>
      <c r="V966" s="275"/>
      <c r="W966" s="275"/>
      <c r="X966" s="275"/>
      <c r="Y966" s="275"/>
      <c r="Z966" s="275"/>
    </row>
    <row r="967" ht="10.5" customHeight="1">
      <c r="A967" s="275"/>
      <c r="B967" s="275"/>
      <c r="C967" s="275"/>
      <c r="D967" s="275"/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5"/>
      <c r="P967" s="275"/>
      <c r="Q967" s="275"/>
      <c r="R967" s="275"/>
      <c r="S967" s="275"/>
      <c r="T967" s="275"/>
      <c r="U967" s="275"/>
      <c r="V967" s="275"/>
      <c r="W967" s="275"/>
      <c r="X967" s="275"/>
      <c r="Y967" s="275"/>
      <c r="Z967" s="275"/>
    </row>
    <row r="968" ht="10.5" customHeight="1">
      <c r="A968" s="275"/>
      <c r="B968" s="275"/>
      <c r="C968" s="275"/>
      <c r="D968" s="275"/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5"/>
      <c r="P968" s="275"/>
      <c r="Q968" s="275"/>
      <c r="R968" s="275"/>
      <c r="S968" s="275"/>
      <c r="T968" s="275"/>
      <c r="U968" s="275"/>
      <c r="V968" s="275"/>
      <c r="W968" s="275"/>
      <c r="X968" s="275"/>
      <c r="Y968" s="275"/>
      <c r="Z968" s="275"/>
    </row>
    <row r="969" ht="10.5" customHeight="1">
      <c r="A969" s="275"/>
      <c r="B969" s="275"/>
      <c r="C969" s="275"/>
      <c r="D969" s="275"/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5"/>
      <c r="P969" s="275"/>
      <c r="Q969" s="275"/>
      <c r="R969" s="275"/>
      <c r="S969" s="275"/>
      <c r="T969" s="275"/>
      <c r="U969" s="275"/>
      <c r="V969" s="275"/>
      <c r="W969" s="275"/>
      <c r="X969" s="275"/>
      <c r="Y969" s="275"/>
      <c r="Z969" s="275"/>
    </row>
    <row r="970" ht="10.5" customHeight="1">
      <c r="A970" s="275"/>
      <c r="B970" s="275"/>
      <c r="C970" s="275"/>
      <c r="D970" s="275"/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5"/>
      <c r="P970" s="275"/>
      <c r="Q970" s="275"/>
      <c r="R970" s="275"/>
      <c r="S970" s="275"/>
      <c r="T970" s="275"/>
      <c r="U970" s="275"/>
      <c r="V970" s="275"/>
      <c r="W970" s="275"/>
      <c r="X970" s="275"/>
      <c r="Y970" s="275"/>
      <c r="Z970" s="275"/>
    </row>
    <row r="971" ht="10.5" customHeight="1">
      <c r="A971" s="275"/>
      <c r="B971" s="275"/>
      <c r="C971" s="275"/>
      <c r="D971" s="275"/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5"/>
      <c r="P971" s="275"/>
      <c r="Q971" s="275"/>
      <c r="R971" s="275"/>
      <c r="S971" s="275"/>
      <c r="T971" s="275"/>
      <c r="U971" s="275"/>
      <c r="V971" s="275"/>
      <c r="W971" s="275"/>
      <c r="X971" s="275"/>
      <c r="Y971" s="275"/>
      <c r="Z971" s="275"/>
    </row>
    <row r="972" ht="10.5" customHeight="1">
      <c r="A972" s="275"/>
      <c r="B972" s="275"/>
      <c r="C972" s="275"/>
      <c r="D972" s="275"/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5"/>
      <c r="P972" s="275"/>
      <c r="Q972" s="275"/>
      <c r="R972" s="275"/>
      <c r="S972" s="275"/>
      <c r="T972" s="275"/>
      <c r="U972" s="275"/>
      <c r="V972" s="275"/>
      <c r="W972" s="275"/>
      <c r="X972" s="275"/>
      <c r="Y972" s="275"/>
      <c r="Z972" s="275"/>
    </row>
    <row r="973" ht="10.5" customHeight="1">
      <c r="A973" s="275"/>
      <c r="B973" s="275"/>
      <c r="C973" s="275"/>
      <c r="D973" s="275"/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5"/>
      <c r="P973" s="275"/>
      <c r="Q973" s="275"/>
      <c r="R973" s="275"/>
      <c r="S973" s="275"/>
      <c r="T973" s="275"/>
      <c r="U973" s="275"/>
      <c r="V973" s="275"/>
      <c r="W973" s="275"/>
      <c r="X973" s="275"/>
      <c r="Y973" s="275"/>
      <c r="Z973" s="275"/>
    </row>
    <row r="974" ht="10.5" customHeight="1">
      <c r="A974" s="275"/>
      <c r="B974" s="275"/>
      <c r="C974" s="275"/>
      <c r="D974" s="275"/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5"/>
      <c r="P974" s="275"/>
      <c r="Q974" s="275"/>
      <c r="R974" s="275"/>
      <c r="S974" s="275"/>
      <c r="T974" s="275"/>
      <c r="U974" s="275"/>
      <c r="V974" s="275"/>
      <c r="W974" s="275"/>
      <c r="X974" s="275"/>
      <c r="Y974" s="275"/>
      <c r="Z974" s="275"/>
    </row>
    <row r="975" ht="10.5" customHeight="1">
      <c r="A975" s="275"/>
      <c r="B975" s="275"/>
      <c r="C975" s="275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5"/>
      <c r="P975" s="275"/>
      <c r="Q975" s="275"/>
      <c r="R975" s="275"/>
      <c r="S975" s="275"/>
      <c r="T975" s="275"/>
      <c r="U975" s="275"/>
      <c r="V975" s="275"/>
      <c r="W975" s="275"/>
      <c r="X975" s="275"/>
      <c r="Y975" s="275"/>
      <c r="Z975" s="275"/>
    </row>
    <row r="976" ht="10.5" customHeight="1">
      <c r="A976" s="275"/>
      <c r="B976" s="275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5"/>
      <c r="P976" s="275"/>
      <c r="Q976" s="275"/>
      <c r="R976" s="275"/>
      <c r="S976" s="275"/>
      <c r="T976" s="275"/>
      <c r="U976" s="275"/>
      <c r="V976" s="275"/>
      <c r="W976" s="275"/>
      <c r="X976" s="275"/>
      <c r="Y976" s="275"/>
      <c r="Z976" s="275"/>
    </row>
    <row r="977" ht="10.5" customHeight="1">
      <c r="A977" s="275"/>
      <c r="B977" s="275"/>
      <c r="C977" s="275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5"/>
      <c r="P977" s="275"/>
      <c r="Q977" s="275"/>
      <c r="R977" s="275"/>
      <c r="S977" s="275"/>
      <c r="T977" s="275"/>
      <c r="U977" s="275"/>
      <c r="V977" s="275"/>
      <c r="W977" s="275"/>
      <c r="X977" s="275"/>
      <c r="Y977" s="275"/>
      <c r="Z977" s="275"/>
    </row>
    <row r="978" ht="10.5" customHeight="1">
      <c r="A978" s="275"/>
      <c r="B978" s="275"/>
      <c r="C978" s="275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5"/>
      <c r="P978" s="275"/>
      <c r="Q978" s="275"/>
      <c r="R978" s="275"/>
      <c r="S978" s="275"/>
      <c r="T978" s="275"/>
      <c r="U978" s="275"/>
      <c r="V978" s="275"/>
      <c r="W978" s="275"/>
      <c r="X978" s="275"/>
      <c r="Y978" s="275"/>
      <c r="Z978" s="275"/>
    </row>
    <row r="979" ht="10.5" customHeight="1">
      <c r="A979" s="275"/>
      <c r="B979" s="275"/>
      <c r="C979" s="275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5"/>
      <c r="P979" s="275"/>
      <c r="Q979" s="275"/>
      <c r="R979" s="275"/>
      <c r="S979" s="275"/>
      <c r="T979" s="275"/>
      <c r="U979" s="275"/>
      <c r="V979" s="275"/>
      <c r="W979" s="275"/>
      <c r="X979" s="275"/>
      <c r="Y979" s="275"/>
      <c r="Z979" s="275"/>
    </row>
    <row r="980" ht="10.5" customHeight="1">
      <c r="A980" s="275"/>
      <c r="B980" s="275"/>
      <c r="C980" s="275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5"/>
      <c r="P980" s="275"/>
      <c r="Q980" s="275"/>
      <c r="R980" s="275"/>
      <c r="S980" s="275"/>
      <c r="T980" s="275"/>
      <c r="U980" s="275"/>
      <c r="V980" s="275"/>
      <c r="W980" s="275"/>
      <c r="X980" s="275"/>
      <c r="Y980" s="275"/>
      <c r="Z980" s="275"/>
    </row>
    <row r="981" ht="10.5" customHeight="1">
      <c r="A981" s="275"/>
      <c r="B981" s="275"/>
      <c r="C981" s="275"/>
      <c r="D981" s="275"/>
      <c r="E981" s="275"/>
      <c r="F981" s="275"/>
      <c r="G981" s="275"/>
      <c r="H981" s="275"/>
      <c r="I981" s="275"/>
      <c r="J981" s="275"/>
      <c r="K981" s="275"/>
      <c r="L981" s="275"/>
      <c r="M981" s="275"/>
      <c r="N981" s="275"/>
      <c r="O981" s="275"/>
      <c r="P981" s="275"/>
      <c r="Q981" s="275"/>
      <c r="R981" s="275"/>
      <c r="S981" s="275"/>
      <c r="T981" s="275"/>
      <c r="U981" s="275"/>
      <c r="V981" s="275"/>
      <c r="W981" s="275"/>
      <c r="X981" s="275"/>
      <c r="Y981" s="275"/>
      <c r="Z981" s="275"/>
    </row>
    <row r="982" ht="10.5" customHeight="1">
      <c r="A982" s="275"/>
      <c r="B982" s="275"/>
      <c r="C982" s="275"/>
      <c r="D982" s="275"/>
      <c r="E982" s="275"/>
      <c r="F982" s="275"/>
      <c r="G982" s="275"/>
      <c r="H982" s="275"/>
      <c r="I982" s="275"/>
      <c r="J982" s="275"/>
      <c r="K982" s="275"/>
      <c r="L982" s="275"/>
      <c r="M982" s="275"/>
      <c r="N982" s="275"/>
      <c r="O982" s="275"/>
      <c r="P982" s="275"/>
      <c r="Q982" s="275"/>
      <c r="R982" s="275"/>
      <c r="S982" s="275"/>
      <c r="T982" s="275"/>
      <c r="U982" s="275"/>
      <c r="V982" s="275"/>
      <c r="W982" s="275"/>
      <c r="X982" s="275"/>
      <c r="Y982" s="275"/>
      <c r="Z982" s="275"/>
    </row>
    <row r="983" ht="10.5" customHeight="1">
      <c r="A983" s="275"/>
      <c r="B983" s="275"/>
      <c r="C983" s="275"/>
      <c r="D983" s="275"/>
      <c r="E983" s="275"/>
      <c r="F983" s="275"/>
      <c r="G983" s="275"/>
      <c r="H983" s="275"/>
      <c r="I983" s="275"/>
      <c r="J983" s="275"/>
      <c r="K983" s="275"/>
      <c r="L983" s="275"/>
      <c r="M983" s="275"/>
      <c r="N983" s="275"/>
      <c r="O983" s="275"/>
      <c r="P983" s="275"/>
      <c r="Q983" s="275"/>
      <c r="R983" s="275"/>
      <c r="S983" s="275"/>
      <c r="T983" s="275"/>
      <c r="U983" s="275"/>
      <c r="V983" s="275"/>
      <c r="W983" s="275"/>
      <c r="X983" s="275"/>
      <c r="Y983" s="275"/>
      <c r="Z983" s="275"/>
    </row>
    <row r="984" ht="10.5" customHeight="1">
      <c r="A984" s="275"/>
      <c r="B984" s="275"/>
      <c r="C984" s="275"/>
      <c r="D984" s="275"/>
      <c r="E984" s="275"/>
      <c r="F984" s="275"/>
      <c r="G984" s="275"/>
      <c r="H984" s="275"/>
      <c r="I984" s="275"/>
      <c r="J984" s="275"/>
      <c r="K984" s="275"/>
      <c r="L984" s="275"/>
      <c r="M984" s="275"/>
      <c r="N984" s="275"/>
      <c r="O984" s="275"/>
      <c r="P984" s="275"/>
      <c r="Q984" s="275"/>
      <c r="R984" s="275"/>
      <c r="S984" s="275"/>
      <c r="T984" s="275"/>
      <c r="U984" s="275"/>
      <c r="V984" s="275"/>
      <c r="W984" s="275"/>
      <c r="X984" s="275"/>
      <c r="Y984" s="275"/>
      <c r="Z984" s="275"/>
    </row>
    <row r="985" ht="10.5" customHeight="1">
      <c r="A985" s="275"/>
      <c r="B985" s="275"/>
      <c r="C985" s="275"/>
      <c r="D985" s="275"/>
      <c r="E985" s="275"/>
      <c r="F985" s="275"/>
      <c r="G985" s="275"/>
      <c r="H985" s="275"/>
      <c r="I985" s="275"/>
      <c r="J985" s="275"/>
      <c r="K985" s="275"/>
      <c r="L985" s="275"/>
      <c r="M985" s="275"/>
      <c r="N985" s="275"/>
      <c r="O985" s="275"/>
      <c r="P985" s="275"/>
      <c r="Q985" s="275"/>
      <c r="R985" s="275"/>
      <c r="S985" s="275"/>
      <c r="T985" s="275"/>
      <c r="U985" s="275"/>
      <c r="V985" s="275"/>
      <c r="W985" s="275"/>
      <c r="X985" s="275"/>
      <c r="Y985" s="275"/>
      <c r="Z985" s="275"/>
    </row>
    <row r="986" ht="10.5" customHeight="1">
      <c r="A986" s="275"/>
      <c r="B986" s="275"/>
      <c r="C986" s="275"/>
      <c r="D986" s="275"/>
      <c r="E986" s="275"/>
      <c r="F986" s="275"/>
      <c r="G986" s="275"/>
      <c r="H986" s="275"/>
      <c r="I986" s="275"/>
      <c r="J986" s="275"/>
      <c r="K986" s="275"/>
      <c r="L986" s="275"/>
      <c r="M986" s="275"/>
      <c r="N986" s="275"/>
      <c r="O986" s="275"/>
      <c r="P986" s="275"/>
      <c r="Q986" s="275"/>
      <c r="R986" s="275"/>
      <c r="S986" s="275"/>
      <c r="T986" s="275"/>
      <c r="U986" s="275"/>
      <c r="V986" s="275"/>
      <c r="W986" s="275"/>
      <c r="X986" s="275"/>
      <c r="Y986" s="275"/>
      <c r="Z986" s="275"/>
    </row>
    <row r="987" ht="10.5" customHeight="1">
      <c r="A987" s="275"/>
      <c r="B987" s="275"/>
      <c r="C987" s="275"/>
      <c r="D987" s="275"/>
      <c r="E987" s="275"/>
      <c r="F987" s="275"/>
      <c r="G987" s="275"/>
      <c r="H987" s="275"/>
      <c r="I987" s="275"/>
      <c r="J987" s="275"/>
      <c r="K987" s="275"/>
      <c r="L987" s="275"/>
      <c r="M987" s="275"/>
      <c r="N987" s="275"/>
      <c r="O987" s="275"/>
      <c r="P987" s="275"/>
      <c r="Q987" s="275"/>
      <c r="R987" s="275"/>
      <c r="S987" s="275"/>
      <c r="T987" s="275"/>
      <c r="U987" s="275"/>
      <c r="V987" s="275"/>
      <c r="W987" s="275"/>
      <c r="X987" s="275"/>
      <c r="Y987" s="275"/>
      <c r="Z987" s="275"/>
    </row>
    <row r="988" ht="10.5" customHeight="1">
      <c r="A988" s="275"/>
      <c r="B988" s="275"/>
      <c r="C988" s="275"/>
      <c r="D988" s="275"/>
      <c r="E988" s="275"/>
      <c r="F988" s="275"/>
      <c r="G988" s="275"/>
      <c r="H988" s="275"/>
      <c r="I988" s="275"/>
      <c r="J988" s="275"/>
      <c r="K988" s="275"/>
      <c r="L988" s="275"/>
      <c r="M988" s="275"/>
      <c r="N988" s="275"/>
      <c r="O988" s="275"/>
      <c r="P988" s="275"/>
      <c r="Q988" s="275"/>
      <c r="R988" s="275"/>
      <c r="S988" s="275"/>
      <c r="T988" s="275"/>
      <c r="U988" s="275"/>
      <c r="V988" s="275"/>
      <c r="W988" s="275"/>
      <c r="X988" s="275"/>
      <c r="Y988" s="275"/>
      <c r="Z988" s="275"/>
    </row>
    <row r="989" ht="10.5" customHeight="1">
      <c r="A989" s="275"/>
      <c r="B989" s="275"/>
      <c r="C989" s="275"/>
      <c r="D989" s="275"/>
      <c r="E989" s="275"/>
      <c r="F989" s="275"/>
      <c r="G989" s="275"/>
      <c r="H989" s="275"/>
      <c r="I989" s="275"/>
      <c r="J989" s="275"/>
      <c r="K989" s="275"/>
      <c r="L989" s="275"/>
      <c r="M989" s="275"/>
      <c r="N989" s="275"/>
      <c r="O989" s="275"/>
      <c r="P989" s="275"/>
      <c r="Q989" s="275"/>
      <c r="R989" s="275"/>
      <c r="S989" s="275"/>
      <c r="T989" s="275"/>
      <c r="U989" s="275"/>
      <c r="V989" s="275"/>
      <c r="W989" s="275"/>
      <c r="X989" s="275"/>
      <c r="Y989" s="275"/>
      <c r="Z989" s="275"/>
    </row>
    <row r="990" ht="10.5" customHeight="1">
      <c r="A990" s="275"/>
      <c r="B990" s="275"/>
      <c r="C990" s="275"/>
      <c r="D990" s="275"/>
      <c r="E990" s="275"/>
      <c r="F990" s="275"/>
      <c r="G990" s="275"/>
      <c r="H990" s="275"/>
      <c r="I990" s="275"/>
      <c r="J990" s="275"/>
      <c r="K990" s="275"/>
      <c r="L990" s="275"/>
      <c r="M990" s="275"/>
      <c r="N990" s="275"/>
      <c r="O990" s="275"/>
      <c r="P990" s="275"/>
      <c r="Q990" s="275"/>
      <c r="R990" s="275"/>
      <c r="S990" s="275"/>
      <c r="T990" s="275"/>
      <c r="U990" s="275"/>
      <c r="V990" s="275"/>
      <c r="W990" s="275"/>
      <c r="X990" s="275"/>
      <c r="Y990" s="275"/>
      <c r="Z990" s="275"/>
    </row>
    <row r="991" ht="10.5" customHeight="1">
      <c r="A991" s="275"/>
      <c r="B991" s="275"/>
      <c r="C991" s="275"/>
      <c r="D991" s="275"/>
      <c r="E991" s="275"/>
      <c r="F991" s="275"/>
      <c r="G991" s="275"/>
      <c r="H991" s="275"/>
      <c r="I991" s="275"/>
      <c r="J991" s="275"/>
      <c r="K991" s="275"/>
      <c r="L991" s="275"/>
      <c r="M991" s="275"/>
      <c r="N991" s="275"/>
      <c r="O991" s="275"/>
      <c r="P991" s="275"/>
      <c r="Q991" s="275"/>
      <c r="R991" s="275"/>
      <c r="S991" s="275"/>
      <c r="T991" s="275"/>
      <c r="U991" s="275"/>
      <c r="V991" s="275"/>
      <c r="W991" s="275"/>
      <c r="X991" s="275"/>
      <c r="Y991" s="275"/>
      <c r="Z991" s="275"/>
    </row>
    <row r="992" ht="10.5" customHeight="1">
      <c r="A992" s="275"/>
      <c r="B992" s="275"/>
      <c r="C992" s="275"/>
      <c r="D992" s="275"/>
      <c r="E992" s="275"/>
      <c r="F992" s="275"/>
      <c r="G992" s="275"/>
      <c r="H992" s="275"/>
      <c r="I992" s="275"/>
      <c r="J992" s="275"/>
      <c r="K992" s="275"/>
      <c r="L992" s="275"/>
      <c r="M992" s="275"/>
      <c r="N992" s="275"/>
      <c r="O992" s="275"/>
      <c r="P992" s="275"/>
      <c r="Q992" s="275"/>
      <c r="R992" s="275"/>
      <c r="S992" s="275"/>
      <c r="T992" s="275"/>
      <c r="U992" s="275"/>
      <c r="V992" s="275"/>
      <c r="W992" s="275"/>
      <c r="X992" s="275"/>
      <c r="Y992" s="275"/>
      <c r="Z992" s="275"/>
    </row>
    <row r="993" ht="10.5" customHeight="1">
      <c r="A993" s="275"/>
      <c r="B993" s="275"/>
      <c r="C993" s="275"/>
      <c r="D993" s="275"/>
      <c r="E993" s="275"/>
      <c r="F993" s="275"/>
      <c r="G993" s="275"/>
      <c r="H993" s="275"/>
      <c r="I993" s="275"/>
      <c r="J993" s="275"/>
      <c r="K993" s="275"/>
      <c r="L993" s="275"/>
      <c r="M993" s="275"/>
      <c r="N993" s="275"/>
      <c r="O993" s="275"/>
      <c r="P993" s="275"/>
      <c r="Q993" s="275"/>
      <c r="R993" s="275"/>
      <c r="S993" s="275"/>
      <c r="T993" s="275"/>
      <c r="U993" s="275"/>
      <c r="V993" s="275"/>
      <c r="W993" s="275"/>
      <c r="X993" s="275"/>
      <c r="Y993" s="275"/>
      <c r="Z993" s="275"/>
    </row>
    <row r="994" ht="10.5" customHeight="1">
      <c r="A994" s="275"/>
      <c r="B994" s="275"/>
      <c r="C994" s="275"/>
      <c r="D994" s="275"/>
      <c r="E994" s="275"/>
      <c r="F994" s="275"/>
      <c r="G994" s="275"/>
      <c r="H994" s="275"/>
      <c r="I994" s="275"/>
      <c r="J994" s="275"/>
      <c r="K994" s="275"/>
      <c r="L994" s="275"/>
      <c r="M994" s="275"/>
      <c r="N994" s="275"/>
      <c r="O994" s="275"/>
      <c r="P994" s="275"/>
      <c r="Q994" s="275"/>
      <c r="R994" s="275"/>
      <c r="S994" s="275"/>
      <c r="T994" s="275"/>
      <c r="U994" s="275"/>
      <c r="V994" s="275"/>
      <c r="W994" s="275"/>
      <c r="X994" s="275"/>
      <c r="Y994" s="275"/>
      <c r="Z994" s="275"/>
    </row>
    <row r="995" ht="10.5" customHeight="1">
      <c r="A995" s="275"/>
      <c r="B995" s="275"/>
      <c r="C995" s="275"/>
      <c r="D995" s="275"/>
      <c r="E995" s="275"/>
      <c r="F995" s="275"/>
      <c r="G995" s="275"/>
      <c r="H995" s="275"/>
      <c r="I995" s="275"/>
      <c r="J995" s="275"/>
      <c r="K995" s="275"/>
      <c r="L995" s="275"/>
      <c r="M995" s="275"/>
      <c r="N995" s="275"/>
      <c r="O995" s="275"/>
      <c r="P995" s="275"/>
      <c r="Q995" s="275"/>
      <c r="R995" s="275"/>
      <c r="S995" s="275"/>
      <c r="T995" s="275"/>
      <c r="U995" s="275"/>
      <c r="V995" s="275"/>
      <c r="W995" s="275"/>
      <c r="X995" s="275"/>
      <c r="Y995" s="275"/>
      <c r="Z995" s="275"/>
    </row>
    <row r="996" ht="10.5" customHeight="1">
      <c r="A996" s="275"/>
      <c r="B996" s="275"/>
      <c r="C996" s="275"/>
      <c r="D996" s="275"/>
      <c r="E996" s="275"/>
      <c r="F996" s="275"/>
      <c r="G996" s="275"/>
      <c r="H996" s="275"/>
      <c r="I996" s="275"/>
      <c r="J996" s="275"/>
      <c r="K996" s="275"/>
      <c r="L996" s="275"/>
      <c r="M996" s="275"/>
      <c r="N996" s="275"/>
      <c r="O996" s="275"/>
      <c r="P996" s="275"/>
      <c r="Q996" s="275"/>
      <c r="R996" s="275"/>
      <c r="S996" s="275"/>
      <c r="T996" s="275"/>
      <c r="U996" s="275"/>
      <c r="V996" s="275"/>
      <c r="W996" s="275"/>
      <c r="X996" s="275"/>
      <c r="Y996" s="275"/>
      <c r="Z996" s="275"/>
    </row>
    <row r="997" ht="10.5" customHeight="1">
      <c r="A997" s="275"/>
      <c r="B997" s="275"/>
      <c r="C997" s="275"/>
      <c r="D997" s="275"/>
      <c r="E997" s="275"/>
      <c r="F997" s="275"/>
      <c r="G997" s="275"/>
      <c r="H997" s="275"/>
      <c r="I997" s="275"/>
      <c r="J997" s="275"/>
      <c r="K997" s="275"/>
      <c r="L997" s="275"/>
      <c r="M997" s="275"/>
      <c r="N997" s="275"/>
      <c r="O997" s="275"/>
      <c r="P997" s="275"/>
      <c r="Q997" s="275"/>
      <c r="R997" s="275"/>
      <c r="S997" s="275"/>
      <c r="T997" s="275"/>
      <c r="U997" s="275"/>
      <c r="V997" s="275"/>
      <c r="W997" s="275"/>
      <c r="X997" s="275"/>
      <c r="Y997" s="275"/>
      <c r="Z997" s="275"/>
    </row>
    <row r="998" ht="10.5" customHeight="1">
      <c r="A998" s="275"/>
      <c r="B998" s="275"/>
      <c r="C998" s="275"/>
      <c r="D998" s="275"/>
      <c r="E998" s="275"/>
      <c r="F998" s="275"/>
      <c r="G998" s="275"/>
      <c r="H998" s="275"/>
      <c r="I998" s="275"/>
      <c r="J998" s="275"/>
      <c r="K998" s="275"/>
      <c r="L998" s="275"/>
      <c r="M998" s="275"/>
      <c r="N998" s="275"/>
      <c r="O998" s="275"/>
      <c r="P998" s="275"/>
      <c r="Q998" s="275"/>
      <c r="R998" s="275"/>
      <c r="S998" s="275"/>
      <c r="T998" s="275"/>
      <c r="U998" s="275"/>
      <c r="V998" s="275"/>
      <c r="W998" s="275"/>
      <c r="X998" s="275"/>
      <c r="Y998" s="275"/>
      <c r="Z998" s="275"/>
    </row>
    <row r="999" ht="10.5" customHeight="1">
      <c r="A999" s="275"/>
      <c r="B999" s="275"/>
      <c r="C999" s="275"/>
      <c r="D999" s="275"/>
      <c r="E999" s="275"/>
      <c r="F999" s="275"/>
      <c r="G999" s="275"/>
      <c r="H999" s="275"/>
      <c r="I999" s="275"/>
      <c r="J999" s="275"/>
      <c r="K999" s="275"/>
      <c r="L999" s="275"/>
      <c r="M999" s="275"/>
      <c r="N999" s="275"/>
      <c r="O999" s="275"/>
      <c r="P999" s="275"/>
      <c r="Q999" s="275"/>
      <c r="R999" s="275"/>
      <c r="S999" s="275"/>
      <c r="T999" s="275"/>
      <c r="U999" s="275"/>
      <c r="V999" s="275"/>
      <c r="W999" s="275"/>
      <c r="X999" s="275"/>
      <c r="Y999" s="275"/>
      <c r="Z999" s="275"/>
    </row>
    <row r="1000" ht="10.5" customHeight="1">
      <c r="A1000" s="275"/>
      <c r="B1000" s="275"/>
      <c r="C1000" s="275"/>
      <c r="D1000" s="275"/>
      <c r="E1000" s="275"/>
      <c r="F1000" s="275"/>
      <c r="G1000" s="275"/>
      <c r="H1000" s="275"/>
      <c r="I1000" s="275"/>
      <c r="J1000" s="275"/>
      <c r="K1000" s="275"/>
      <c r="L1000" s="275"/>
      <c r="M1000" s="275"/>
      <c r="N1000" s="275"/>
      <c r="O1000" s="275"/>
      <c r="P1000" s="275"/>
      <c r="Q1000" s="275"/>
      <c r="R1000" s="275"/>
      <c r="S1000" s="275"/>
      <c r="T1000" s="275"/>
      <c r="U1000" s="275"/>
      <c r="V1000" s="275"/>
      <c r="W1000" s="275"/>
      <c r="X1000" s="275"/>
      <c r="Y1000" s="275"/>
      <c r="Z1000" s="275"/>
    </row>
  </sheetData>
  <autoFilter ref="$I$1:$M$1">
    <sortState ref="I1:M1">
      <sortCondition descending="1" ref="M1"/>
    </sortState>
  </autoFilter>
  <printOptions/>
  <pageMargins bottom="0.75" footer="0.0" header="0.0" left="0.7" right="0.7" top="0.75"/>
  <pageSetup orientation="landscape"/>
  <drawing r:id="rId1"/>
</worksheet>
</file>